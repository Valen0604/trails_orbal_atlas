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da5a9201bc5826c/Documentos/trails_orbal_atlas/"/>
    </mc:Choice>
  </mc:AlternateContent>
  <xr:revisionPtr revIDLastSave="210" documentId="13_ncr:1_{54315043-5A41-45C0-BA2E-F1BBE0C76030}" xr6:coauthVersionLast="47" xr6:coauthVersionMax="47" xr10:uidLastSave="{6C4B4E19-E496-44C0-9BB7-65FFA5F27261}"/>
  <bookViews>
    <workbookView xWindow="-120" yWindow="-120" windowWidth="29040" windowHeight="15720" activeTab="4" xr2:uid="{B6393BEF-99C0-4DAE-AD63-40B518CD1F0D}"/>
  </bookViews>
  <sheets>
    <sheet name="characters" sheetId="1" r:id="rId1"/>
    <sheet name="locations" sheetId="2" r:id="rId2"/>
    <sheet name="beats" sheetId="3" r:id="rId3"/>
    <sheet name="appearances" sheetId="5" r:id="rId4"/>
    <sheet name="codex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5" i="4" l="1"/>
  <c r="C3" i="4"/>
  <c r="C2" i="4"/>
  <c r="C4" i="4"/>
  <c r="C13" i="4"/>
  <c r="C20" i="4"/>
  <c r="C19" i="4"/>
  <c r="C18" i="4"/>
  <c r="C11" i="4"/>
  <c r="C10" i="4"/>
  <c r="C9" i="4"/>
  <c r="C8" i="4"/>
  <c r="C7" i="4"/>
  <c r="C17" i="4"/>
  <c r="C16" i="4"/>
  <c r="C14" i="4"/>
  <c r="C12" i="4"/>
  <c r="C6" i="4"/>
  <c r="C5" i="4"/>
  <c r="F10" i="5"/>
  <c r="C10" i="5"/>
  <c r="C9" i="5"/>
  <c r="F8" i="5"/>
  <c r="C8" i="5"/>
  <c r="F7" i="5"/>
  <c r="C7" i="5"/>
  <c r="F6" i="5"/>
  <c r="C6" i="5"/>
  <c r="F5" i="5"/>
  <c r="C5" i="5"/>
  <c r="F4" i="5"/>
  <c r="C4" i="5"/>
  <c r="C3" i="5"/>
  <c r="C2" i="5"/>
</calcChain>
</file>

<file path=xl/sharedStrings.xml><?xml version="1.0" encoding="utf-8"?>
<sst xmlns="http://schemas.openxmlformats.org/spreadsheetml/2006/main" count="384" uniqueCount="149">
  <si>
    <t>char_id</t>
  </si>
  <si>
    <t>display_name</t>
  </si>
  <si>
    <t>faction</t>
  </si>
  <si>
    <t>first_met_location</t>
  </si>
  <si>
    <t>first_appearance_beat</t>
  </si>
  <si>
    <t>icon</t>
  </si>
  <si>
    <t>estelle</t>
  </si>
  <si>
    <t>Estelle Bright</t>
  </si>
  <si>
    <t>Bracer Guild</t>
  </si>
  <si>
    <t>rolent</t>
  </si>
  <si>
    <t>joshua</t>
  </si>
  <si>
    <t>Joshua Bright</t>
  </si>
  <si>
    <t>schera</t>
  </si>
  <si>
    <t>Scherazard Harvey</t>
  </si>
  <si>
    <t>cassius</t>
  </si>
  <si>
    <t>Cassius Bright</t>
  </si>
  <si>
    <t>loc_id</t>
  </si>
  <si>
    <t>name</t>
  </si>
  <si>
    <t>parent_loc_id</t>
  </si>
  <si>
    <t>type</t>
  </si>
  <si>
    <t>map_x</t>
  </si>
  <si>
    <t>map_y</t>
  </si>
  <si>
    <t>Rolent</t>
  </si>
  <si>
    <t>liberl</t>
  </si>
  <si>
    <t>city</t>
  </si>
  <si>
    <t>Liberl</t>
  </si>
  <si>
    <t>nation</t>
  </si>
  <si>
    <t>beat_id</t>
  </si>
  <si>
    <t>sequence</t>
  </si>
  <si>
    <t>chapter</t>
  </si>
  <si>
    <t>title</t>
  </si>
  <si>
    <t>default_location</t>
  </si>
  <si>
    <t>approx_date</t>
  </si>
  <si>
    <t>March 1202</t>
  </si>
  <si>
    <t>fc_pro</t>
  </si>
  <si>
    <t>Prologue</t>
  </si>
  <si>
    <t>Going to Rolent</t>
  </si>
  <si>
    <t>perzel</t>
  </si>
  <si>
    <t>Perzel Farm</t>
  </si>
  <si>
    <t>esmelas</t>
  </si>
  <si>
    <t>district</t>
  </si>
  <si>
    <t>bright_house</t>
  </si>
  <si>
    <t>malga</t>
  </si>
  <si>
    <t>Malga Mine</t>
  </si>
  <si>
    <t>josette</t>
  </si>
  <si>
    <t>Josette Haar</t>
  </si>
  <si>
    <t>Jenis Royal Academy</t>
  </si>
  <si>
    <t>mistwald</t>
  </si>
  <si>
    <t>Mistwald</t>
  </si>
  <si>
    <t>revealed_at_beat</t>
  </si>
  <si>
    <t>entry_type</t>
  </si>
  <si>
    <t>text</t>
  </si>
  <si>
    <t>Josette Capua</t>
  </si>
  <si>
    <t>Capua Sky Bandits</t>
  </si>
  <si>
    <t>bose</t>
  </si>
  <si>
    <t>bio</t>
  </si>
  <si>
    <t>join_beat</t>
  </si>
  <si>
    <t>join_sequence</t>
  </si>
  <si>
    <t>location</t>
  </si>
  <si>
    <t>leave_beat</t>
  </si>
  <si>
    <t>leave_sequence</t>
  </si>
  <si>
    <t>activity</t>
  </si>
  <si>
    <t>Chasing thief to Mistwald</t>
  </si>
  <si>
    <t>Sent children to buy newspaper</t>
  </si>
  <si>
    <t>Speaking to Rolent's mayor</t>
  </si>
  <si>
    <t>Fled on airship with his brother</t>
  </si>
  <si>
    <t>Bose</t>
  </si>
  <si>
    <t>fc_ch1</t>
  </si>
  <si>
    <t>Chapter 1</t>
  </si>
  <si>
    <t>June 1202</t>
  </si>
  <si>
    <t>Heading back home</t>
  </si>
  <si>
    <t>Heading back to Rolent</t>
  </si>
  <si>
    <t>April 1202</t>
  </si>
  <si>
    <t>May 1202</t>
  </si>
  <si>
    <t>Bright Family House</t>
  </si>
  <si>
    <t>Esmelas Tower</t>
  </si>
  <si>
    <t>Going to Bose in search of Cassius</t>
  </si>
  <si>
    <t>region</t>
  </si>
  <si>
    <t>rolent_city</t>
  </si>
  <si>
    <t>Rolent City</t>
  </si>
  <si>
    <t>bose_city</t>
  </si>
  <si>
    <t>Bose City</t>
  </si>
  <si>
    <t>Party leader</t>
  </si>
  <si>
    <t>Doing Junior Bracer Test</t>
  </si>
  <si>
    <t>Interrupted by Aina on the way home</t>
  </si>
  <si>
    <t>Dealing with Bracer duties</t>
  </si>
  <si>
    <t>Heading to Perzel Farm for Bracer job</t>
  </si>
  <si>
    <t>Dealing with crop detroying monsters</t>
  </si>
  <si>
    <t>Learned Cassius is leaving for work</t>
  </si>
  <si>
    <t>Going to the mine to retrieve crystal</t>
  </si>
  <si>
    <t>Rescuing miners from a cave in and recovering crystal</t>
  </si>
  <si>
    <t>Delivering crystal to Mayor Klaus, encountering Josette</t>
  </si>
  <si>
    <t>alba</t>
  </si>
  <si>
    <t>Professor Alba</t>
  </si>
  <si>
    <t>Archeologist</t>
  </si>
  <si>
    <t>Learning about reporter escort mission to Esmelas Tower</t>
  </si>
  <si>
    <t>Escorting reporters to the top of Esmelas Tower</t>
  </si>
  <si>
    <t>Encountered Professor Alba, learning about Tetracyclic Towers</t>
  </si>
  <si>
    <t>Returning to Rolent after escort mission</t>
  </si>
  <si>
    <t>Mayor bursts into Bracer Guild exclaiming how the Septium Crystal was stolen</t>
  </si>
  <si>
    <t>Searching for clues about the robbery, suspecting of Josette</t>
  </si>
  <si>
    <t>Encountered Capua Sky Bandits in the center of Mistwald with the crystal</t>
  </si>
  <si>
    <t>Fighting Josette to retrieve the crystal</t>
  </si>
  <si>
    <t>Retrived crystal but Josette is rescued by her brother on an airship and manages to flee</t>
  </si>
  <si>
    <t>Returning to Rolent with crystal</t>
  </si>
  <si>
    <t>Receiving first recommendation for promotion to senior bracer</t>
  </si>
  <si>
    <t>Returning Home</t>
  </si>
  <si>
    <t>Get sent to Rolent to pickup a newspaper for Cassius</t>
  </si>
  <si>
    <t>On a work trip with the guild</t>
  </si>
  <si>
    <t>Researching Tetracyclic Towers</t>
  </si>
  <si>
    <t>Guiding Estelle and Josua on their missions</t>
  </si>
  <si>
    <t>Learned the airliner Linde has disappeared over Bose, which Cassius was aboard</t>
  </si>
  <si>
    <t>show_name</t>
  </si>
  <si>
    <t>body</t>
  </si>
  <si>
    <t>reveal_name</t>
  </si>
  <si>
    <t>weismann1.webp</t>
  </si>
  <si>
    <t>weismannFullBody1.webp</t>
  </si>
  <si>
    <t>cassius1.png</t>
  </si>
  <si>
    <t>cassiusFullBody1.png</t>
  </si>
  <si>
    <t>josetteCapua1.png</t>
  </si>
  <si>
    <t>josetteFullBody1.webp</t>
  </si>
  <si>
    <t>estelle1.png</t>
  </si>
  <si>
    <t>joshua1.png</t>
  </si>
  <si>
    <t>estelleFullBody1.webp</t>
  </si>
  <si>
    <t>joshuaFullBody1.png</t>
  </si>
  <si>
    <t>scherazard1.webp</t>
  </si>
  <si>
    <t>scherazardFullBody1.webp</t>
  </si>
  <si>
    <t>josetteCapua2.png</t>
  </si>
  <si>
    <t>josetteFullBody2.png</t>
  </si>
  <si>
    <t>Attempting to rescue children from Esmelas Tower</t>
  </si>
  <si>
    <t>Ambushed by monsters, Cassius comes to the rescue</t>
  </si>
  <si>
    <t>On a work trip with the Bracer Guild</t>
  </si>
  <si>
    <t>Attempted to steal the Esmelas Crystal that was going to be gifted to the Queen</t>
  </si>
  <si>
    <t>Doing the easier of the bracer jobs left over by Cassius with Joshua</t>
  </si>
  <si>
    <t>Doing the easier of the bracer jobs left over by Cassius with Estelle</t>
  </si>
  <si>
    <t>Doing the hardest of the bracer jobs left by Cassius</t>
  </si>
  <si>
    <t>Accompanying Estelle and Joshua to Bose on their search for Cassius</t>
  </si>
  <si>
    <t>Adopted brother of Estelle</t>
  </si>
  <si>
    <t>Her mother died protecting her during the 100 day war</t>
  </si>
  <si>
    <t>Bracer mentor for Estelle and Joshua</t>
  </si>
  <si>
    <t>S rank Bracer</t>
  </si>
  <si>
    <t>Archeologist investigating the Tetracyclic towers</t>
  </si>
  <si>
    <t>Learning about Esmelas Crystal that needs retrieving from Mayor Klaus</t>
  </si>
  <si>
    <t>Faked being a Jenis Royal Academy student to appraoch Mayor Klaus</t>
  </si>
  <si>
    <t>Father of Estelle, adoptive father of Josua</t>
  </si>
  <si>
    <t>Widowed since the 100 day war</t>
  </si>
  <si>
    <t>Disappeared on missing airliner</t>
  </si>
  <si>
    <t>former_faction</t>
  </si>
  <si>
    <t>Jenis Royal Academy (cover identity)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</si>
</sst>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50901-8053-4627-8044-9432C6A9EB89}">
  <dimension ref="A1:G7"/>
  <sheetViews>
    <sheetView workbookViewId="0">
      <selection activeCell="F5" sqref="F5"/>
    </sheetView>
  </sheetViews>
  <sheetFormatPr defaultRowHeight="15" x14ac:dyDescent="0.25"/>
  <cols>
    <col min="2" max="2" width="17.42578125" bestFit="1" customWidth="1"/>
    <col min="3" max="3" width="19.42578125" bestFit="1" customWidth="1"/>
    <col min="4" max="4" width="16.85546875" bestFit="1" customWidth="1"/>
    <col min="5" max="5" width="20.85546875" bestFit="1" customWidth="1"/>
    <col min="6" max="6" width="21.5703125" bestFit="1" customWidth="1"/>
    <col min="7" max="7" width="24.425781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113</v>
      </c>
    </row>
    <row r="2" spans="1:7" x14ac:dyDescent="0.25">
      <c r="A2" t="s">
        <v>6</v>
      </c>
      <c r="B2" t="s">
        <v>7</v>
      </c>
      <c r="C2" t="s">
        <v>8</v>
      </c>
      <c r="D2" t="s">
        <v>41</v>
      </c>
      <c r="E2" t="s">
        <v>34</v>
      </c>
      <c r="F2" t="s">
        <v>121</v>
      </c>
      <c r="G2" t="s">
        <v>123</v>
      </c>
    </row>
    <row r="3" spans="1:7" x14ac:dyDescent="0.25">
      <c r="A3" t="s">
        <v>10</v>
      </c>
      <c r="B3" t="s">
        <v>11</v>
      </c>
      <c r="C3" t="s">
        <v>8</v>
      </c>
      <c r="D3" t="s">
        <v>41</v>
      </c>
      <c r="E3" t="s">
        <v>34</v>
      </c>
      <c r="F3" t="s">
        <v>122</v>
      </c>
      <c r="G3" t="s">
        <v>124</v>
      </c>
    </row>
    <row r="4" spans="1:7" x14ac:dyDescent="0.25">
      <c r="A4" t="s">
        <v>12</v>
      </c>
      <c r="B4" t="s">
        <v>13</v>
      </c>
      <c r="C4" t="s">
        <v>8</v>
      </c>
      <c r="D4" t="s">
        <v>78</v>
      </c>
      <c r="E4" t="s">
        <v>34</v>
      </c>
      <c r="F4" t="s">
        <v>125</v>
      </c>
      <c r="G4" t="s">
        <v>126</v>
      </c>
    </row>
    <row r="5" spans="1:7" x14ac:dyDescent="0.25">
      <c r="A5" t="s">
        <v>14</v>
      </c>
      <c r="B5" t="s">
        <v>15</v>
      </c>
      <c r="C5" t="s">
        <v>8</v>
      </c>
      <c r="D5" t="s">
        <v>41</v>
      </c>
      <c r="E5" t="s">
        <v>34</v>
      </c>
      <c r="F5" t="s">
        <v>117</v>
      </c>
      <c r="G5" t="s">
        <v>118</v>
      </c>
    </row>
    <row r="6" spans="1:7" x14ac:dyDescent="0.25">
      <c r="A6" t="s">
        <v>44</v>
      </c>
      <c r="B6" t="s">
        <v>45</v>
      </c>
      <c r="C6" t="s">
        <v>46</v>
      </c>
      <c r="D6" t="s">
        <v>78</v>
      </c>
      <c r="E6" t="s">
        <v>34</v>
      </c>
      <c r="F6" t="s">
        <v>119</v>
      </c>
      <c r="G6" t="s">
        <v>120</v>
      </c>
    </row>
    <row r="7" spans="1:7" x14ac:dyDescent="0.25">
      <c r="A7" t="s">
        <v>92</v>
      </c>
      <c r="B7" t="s">
        <v>93</v>
      </c>
      <c r="C7" t="s">
        <v>94</v>
      </c>
      <c r="D7" t="s">
        <v>39</v>
      </c>
      <c r="E7" t="s">
        <v>34</v>
      </c>
      <c r="F7" t="s">
        <v>115</v>
      </c>
      <c r="G7" t="s">
        <v>116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7F938-F724-45B1-B18D-82E13C0D228D}">
  <dimension ref="A1:G11"/>
  <sheetViews>
    <sheetView workbookViewId="0">
      <selection activeCell="G11" sqref="G11"/>
    </sheetView>
  </sheetViews>
  <sheetFormatPr defaultRowHeight="15" x14ac:dyDescent="0.25"/>
  <cols>
    <col min="1" max="1" width="12.42578125" bestFit="1" customWidth="1"/>
    <col min="2" max="2" width="18.7109375" bestFit="1" customWidth="1"/>
  </cols>
  <sheetData>
    <row r="1" spans="1:7" x14ac:dyDescent="0.25">
      <c r="A1" t="s">
        <v>16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112</v>
      </c>
    </row>
    <row r="2" spans="1:7" x14ac:dyDescent="0.25">
      <c r="A2" t="s">
        <v>9</v>
      </c>
      <c r="B2" t="s">
        <v>22</v>
      </c>
      <c r="C2" t="s">
        <v>23</v>
      </c>
      <c r="D2" t="s">
        <v>77</v>
      </c>
    </row>
    <row r="3" spans="1:7" x14ac:dyDescent="0.25">
      <c r="A3" t="s">
        <v>78</v>
      </c>
      <c r="B3" t="s">
        <v>79</v>
      </c>
      <c r="C3" t="s">
        <v>9</v>
      </c>
      <c r="D3" t="s">
        <v>24</v>
      </c>
      <c r="E3">
        <v>31.3</v>
      </c>
      <c r="F3">
        <v>68.900000000000006</v>
      </c>
    </row>
    <row r="4" spans="1:7" x14ac:dyDescent="0.25">
      <c r="A4" t="s">
        <v>23</v>
      </c>
      <c r="B4" t="s">
        <v>25</v>
      </c>
      <c r="D4" t="s">
        <v>26</v>
      </c>
    </row>
    <row r="5" spans="1:7" x14ac:dyDescent="0.25">
      <c r="A5" t="s">
        <v>39</v>
      </c>
      <c r="B5" t="s">
        <v>75</v>
      </c>
      <c r="C5" t="s">
        <v>9</v>
      </c>
      <c r="D5" t="s">
        <v>40</v>
      </c>
      <c r="E5">
        <v>30.5</v>
      </c>
      <c r="F5">
        <v>67.7</v>
      </c>
    </row>
    <row r="6" spans="1:7" x14ac:dyDescent="0.25">
      <c r="A6" t="s">
        <v>37</v>
      </c>
      <c r="B6" t="s">
        <v>38</v>
      </c>
      <c r="C6" t="s">
        <v>9</v>
      </c>
      <c r="D6" t="s">
        <v>40</v>
      </c>
      <c r="E6">
        <v>30.1</v>
      </c>
      <c r="F6">
        <v>69.2</v>
      </c>
      <c r="G6">
        <v>1</v>
      </c>
    </row>
    <row r="7" spans="1:7" x14ac:dyDescent="0.25">
      <c r="A7" t="s">
        <v>41</v>
      </c>
      <c r="B7" t="s">
        <v>74</v>
      </c>
      <c r="C7" t="s">
        <v>9</v>
      </c>
      <c r="D7" t="s">
        <v>40</v>
      </c>
      <c r="E7">
        <v>31.3</v>
      </c>
      <c r="F7">
        <v>69.900000000000006</v>
      </c>
      <c r="G7">
        <v>1</v>
      </c>
    </row>
    <row r="8" spans="1:7" x14ac:dyDescent="0.25">
      <c r="A8" t="s">
        <v>42</v>
      </c>
      <c r="B8" t="s">
        <v>43</v>
      </c>
      <c r="C8" t="s">
        <v>9</v>
      </c>
      <c r="D8" t="s">
        <v>40</v>
      </c>
      <c r="E8">
        <v>31.1</v>
      </c>
      <c r="F8">
        <v>65.8</v>
      </c>
    </row>
    <row r="9" spans="1:7" x14ac:dyDescent="0.25">
      <c r="A9" t="s">
        <v>47</v>
      </c>
      <c r="B9" t="s">
        <v>48</v>
      </c>
      <c r="C9" t="s">
        <v>9</v>
      </c>
      <c r="D9" t="s">
        <v>40</v>
      </c>
      <c r="E9">
        <v>31.2</v>
      </c>
      <c r="F9">
        <v>70.599999999999994</v>
      </c>
      <c r="G9">
        <v>1</v>
      </c>
    </row>
    <row r="10" spans="1:7" x14ac:dyDescent="0.25">
      <c r="A10" t="s">
        <v>54</v>
      </c>
      <c r="B10" t="s">
        <v>66</v>
      </c>
      <c r="C10" t="s">
        <v>23</v>
      </c>
      <c r="D10" t="s">
        <v>77</v>
      </c>
    </row>
    <row r="11" spans="1:7" x14ac:dyDescent="0.25">
      <c r="A11" t="s">
        <v>80</v>
      </c>
      <c r="B11" t="s">
        <v>81</v>
      </c>
      <c r="C11" t="s">
        <v>54</v>
      </c>
      <c r="D11" t="s">
        <v>24</v>
      </c>
      <c r="E11">
        <v>26.3</v>
      </c>
      <c r="F11">
        <v>66.599999999999994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A2C8E-D265-418D-8065-F972E277CAB9}">
  <dimension ref="A1:F32"/>
  <sheetViews>
    <sheetView workbookViewId="0">
      <selection activeCell="D40" sqref="D40"/>
    </sheetView>
  </sheetViews>
  <sheetFormatPr defaultRowHeight="15" x14ac:dyDescent="0.25"/>
  <cols>
    <col min="4" max="4" width="78.5703125" bestFit="1" customWidth="1"/>
    <col min="5" max="5" width="15.42578125" bestFit="1" customWidth="1"/>
    <col min="6" max="6" width="11.85546875" bestFit="1" customWidth="1"/>
  </cols>
  <sheetData>
    <row r="1" spans="1:6" x14ac:dyDescent="0.25">
      <c r="A1" t="s">
        <v>27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</row>
    <row r="2" spans="1:6" x14ac:dyDescent="0.25">
      <c r="A2" t="s">
        <v>34</v>
      </c>
      <c r="B2">
        <v>10</v>
      </c>
      <c r="C2" t="s">
        <v>35</v>
      </c>
      <c r="D2" t="s">
        <v>107</v>
      </c>
      <c r="E2" t="s">
        <v>41</v>
      </c>
      <c r="F2" t="s">
        <v>33</v>
      </c>
    </row>
    <row r="3" spans="1:6" x14ac:dyDescent="0.25">
      <c r="A3" t="s">
        <v>34</v>
      </c>
      <c r="B3">
        <v>11</v>
      </c>
      <c r="C3" t="s">
        <v>35</v>
      </c>
      <c r="D3" t="s">
        <v>36</v>
      </c>
      <c r="E3" t="s">
        <v>78</v>
      </c>
      <c r="F3" t="s">
        <v>33</v>
      </c>
    </row>
    <row r="4" spans="1:6" x14ac:dyDescent="0.25">
      <c r="A4" t="s">
        <v>34</v>
      </c>
      <c r="B4">
        <v>12</v>
      </c>
      <c r="C4" t="s">
        <v>35</v>
      </c>
      <c r="D4" t="s">
        <v>83</v>
      </c>
      <c r="E4" t="s">
        <v>78</v>
      </c>
      <c r="F4" t="s">
        <v>33</v>
      </c>
    </row>
    <row r="5" spans="1:6" x14ac:dyDescent="0.25">
      <c r="A5" t="s">
        <v>34</v>
      </c>
      <c r="B5">
        <v>13</v>
      </c>
      <c r="C5" t="s">
        <v>35</v>
      </c>
      <c r="D5" t="s">
        <v>84</v>
      </c>
      <c r="E5" t="s">
        <v>78</v>
      </c>
      <c r="F5" t="s">
        <v>33</v>
      </c>
    </row>
    <row r="6" spans="1:6" x14ac:dyDescent="0.25">
      <c r="A6" t="s">
        <v>34</v>
      </c>
      <c r="B6">
        <v>14</v>
      </c>
      <c r="C6" t="s">
        <v>35</v>
      </c>
      <c r="D6" t="s">
        <v>129</v>
      </c>
      <c r="E6" t="s">
        <v>39</v>
      </c>
      <c r="F6" t="s">
        <v>33</v>
      </c>
    </row>
    <row r="7" spans="1:6" x14ac:dyDescent="0.25">
      <c r="A7" t="s">
        <v>34</v>
      </c>
      <c r="B7">
        <v>15</v>
      </c>
      <c r="C7" t="s">
        <v>35</v>
      </c>
      <c r="D7" t="s">
        <v>130</v>
      </c>
      <c r="E7" t="s">
        <v>39</v>
      </c>
      <c r="F7" t="s">
        <v>33</v>
      </c>
    </row>
    <row r="8" spans="1:6" x14ac:dyDescent="0.25">
      <c r="A8" t="s">
        <v>34</v>
      </c>
      <c r="B8">
        <v>16</v>
      </c>
      <c r="C8" t="s">
        <v>35</v>
      </c>
      <c r="D8" t="s">
        <v>70</v>
      </c>
      <c r="E8" t="s">
        <v>41</v>
      </c>
      <c r="F8" t="s">
        <v>33</v>
      </c>
    </row>
    <row r="9" spans="1:6" x14ac:dyDescent="0.25">
      <c r="A9" t="s">
        <v>34</v>
      </c>
      <c r="B9">
        <v>17</v>
      </c>
      <c r="C9" t="s">
        <v>35</v>
      </c>
      <c r="D9" t="s">
        <v>88</v>
      </c>
      <c r="E9" t="s">
        <v>41</v>
      </c>
      <c r="F9" t="s">
        <v>33</v>
      </c>
    </row>
    <row r="10" spans="1:6" x14ac:dyDescent="0.25">
      <c r="A10" t="s">
        <v>34</v>
      </c>
      <c r="B10">
        <v>18</v>
      </c>
      <c r="C10" t="s">
        <v>35</v>
      </c>
      <c r="D10" t="s">
        <v>86</v>
      </c>
      <c r="E10" t="s">
        <v>37</v>
      </c>
      <c r="F10" t="s">
        <v>72</v>
      </c>
    </row>
    <row r="11" spans="1:6" x14ac:dyDescent="0.25">
      <c r="A11" t="s">
        <v>34</v>
      </c>
      <c r="B11">
        <v>19</v>
      </c>
      <c r="C11" t="s">
        <v>35</v>
      </c>
      <c r="D11" t="s">
        <v>87</v>
      </c>
      <c r="E11" t="s">
        <v>37</v>
      </c>
      <c r="F11" t="s">
        <v>72</v>
      </c>
    </row>
    <row r="12" spans="1:6" x14ac:dyDescent="0.25">
      <c r="A12" t="s">
        <v>34</v>
      </c>
      <c r="B12">
        <v>20</v>
      </c>
      <c r="C12" t="s">
        <v>35</v>
      </c>
      <c r="D12" t="s">
        <v>71</v>
      </c>
      <c r="E12" t="s">
        <v>78</v>
      </c>
      <c r="F12" t="s">
        <v>72</v>
      </c>
    </row>
    <row r="13" spans="1:6" x14ac:dyDescent="0.25">
      <c r="A13" t="s">
        <v>34</v>
      </c>
      <c r="B13">
        <v>21</v>
      </c>
      <c r="C13" t="s">
        <v>35</v>
      </c>
      <c r="D13" t="s">
        <v>142</v>
      </c>
      <c r="E13" t="s">
        <v>78</v>
      </c>
      <c r="F13" t="s">
        <v>72</v>
      </c>
    </row>
    <row r="14" spans="1:6" x14ac:dyDescent="0.25">
      <c r="A14" t="s">
        <v>34</v>
      </c>
      <c r="B14">
        <v>22</v>
      </c>
      <c r="C14" t="s">
        <v>35</v>
      </c>
      <c r="D14" t="s">
        <v>89</v>
      </c>
      <c r="E14" t="s">
        <v>42</v>
      </c>
      <c r="F14" t="s">
        <v>72</v>
      </c>
    </row>
    <row r="15" spans="1:6" x14ac:dyDescent="0.25">
      <c r="A15" t="s">
        <v>34</v>
      </c>
      <c r="B15">
        <v>23</v>
      </c>
      <c r="C15" t="s">
        <v>35</v>
      </c>
      <c r="D15" t="s">
        <v>90</v>
      </c>
      <c r="E15" t="s">
        <v>42</v>
      </c>
      <c r="F15" t="s">
        <v>72</v>
      </c>
    </row>
    <row r="16" spans="1:6" x14ac:dyDescent="0.25">
      <c r="A16" t="s">
        <v>34</v>
      </c>
      <c r="B16">
        <v>24</v>
      </c>
      <c r="C16" t="s">
        <v>35</v>
      </c>
      <c r="D16" t="s">
        <v>71</v>
      </c>
      <c r="E16" t="s">
        <v>78</v>
      </c>
      <c r="F16" t="s">
        <v>72</v>
      </c>
    </row>
    <row r="17" spans="1:6" x14ac:dyDescent="0.25">
      <c r="A17" t="s">
        <v>34</v>
      </c>
      <c r="B17">
        <v>25</v>
      </c>
      <c r="C17" t="s">
        <v>35</v>
      </c>
      <c r="D17" t="s">
        <v>91</v>
      </c>
      <c r="E17" t="s">
        <v>78</v>
      </c>
      <c r="F17" t="s">
        <v>72</v>
      </c>
    </row>
    <row r="18" spans="1:6" x14ac:dyDescent="0.25">
      <c r="A18" t="s">
        <v>34</v>
      </c>
      <c r="B18">
        <v>26</v>
      </c>
      <c r="C18" t="s">
        <v>35</v>
      </c>
      <c r="D18" t="s">
        <v>95</v>
      </c>
      <c r="E18" t="s">
        <v>78</v>
      </c>
      <c r="F18" t="s">
        <v>73</v>
      </c>
    </row>
    <row r="19" spans="1:6" x14ac:dyDescent="0.25">
      <c r="A19" t="s">
        <v>34</v>
      </c>
      <c r="B19">
        <v>27</v>
      </c>
      <c r="C19" t="s">
        <v>35</v>
      </c>
      <c r="D19" t="s">
        <v>96</v>
      </c>
      <c r="E19" t="s">
        <v>39</v>
      </c>
      <c r="F19" t="s">
        <v>73</v>
      </c>
    </row>
    <row r="20" spans="1:6" x14ac:dyDescent="0.25">
      <c r="A20" t="s">
        <v>34</v>
      </c>
      <c r="B20">
        <v>28</v>
      </c>
      <c r="C20" t="s">
        <v>35</v>
      </c>
      <c r="D20" t="s">
        <v>97</v>
      </c>
      <c r="E20" t="s">
        <v>39</v>
      </c>
      <c r="F20" t="s">
        <v>73</v>
      </c>
    </row>
    <row r="21" spans="1:6" x14ac:dyDescent="0.25">
      <c r="A21" t="s">
        <v>34</v>
      </c>
      <c r="B21">
        <v>29</v>
      </c>
      <c r="C21" t="s">
        <v>35</v>
      </c>
      <c r="D21" t="s">
        <v>98</v>
      </c>
      <c r="E21" t="s">
        <v>78</v>
      </c>
      <c r="F21" t="s">
        <v>73</v>
      </c>
    </row>
    <row r="22" spans="1:6" x14ac:dyDescent="0.25">
      <c r="A22" t="s">
        <v>34</v>
      </c>
      <c r="B22">
        <v>30</v>
      </c>
      <c r="C22" t="s">
        <v>35</v>
      </c>
      <c r="D22" t="s">
        <v>99</v>
      </c>
      <c r="E22" t="s">
        <v>78</v>
      </c>
      <c r="F22" t="s">
        <v>73</v>
      </c>
    </row>
    <row r="23" spans="1:6" x14ac:dyDescent="0.25">
      <c r="A23" t="s">
        <v>34</v>
      </c>
      <c r="B23">
        <v>31</v>
      </c>
      <c r="C23" t="s">
        <v>35</v>
      </c>
      <c r="D23" t="s">
        <v>100</v>
      </c>
      <c r="E23" t="s">
        <v>78</v>
      </c>
      <c r="F23" t="s">
        <v>73</v>
      </c>
    </row>
    <row r="24" spans="1:6" x14ac:dyDescent="0.25">
      <c r="A24" t="s">
        <v>34</v>
      </c>
      <c r="B24">
        <v>32</v>
      </c>
      <c r="C24" t="s">
        <v>35</v>
      </c>
      <c r="D24" t="s">
        <v>62</v>
      </c>
      <c r="E24" t="s">
        <v>47</v>
      </c>
      <c r="F24" t="s">
        <v>73</v>
      </c>
    </row>
    <row r="25" spans="1:6" x14ac:dyDescent="0.25">
      <c r="A25" t="s">
        <v>34</v>
      </c>
      <c r="B25">
        <v>33</v>
      </c>
      <c r="C25" t="s">
        <v>35</v>
      </c>
      <c r="D25" t="s">
        <v>101</v>
      </c>
      <c r="E25" t="s">
        <v>47</v>
      </c>
      <c r="F25" t="s">
        <v>73</v>
      </c>
    </row>
    <row r="26" spans="1:6" x14ac:dyDescent="0.25">
      <c r="A26" t="s">
        <v>34</v>
      </c>
      <c r="B26">
        <v>34</v>
      </c>
      <c r="C26" t="s">
        <v>35</v>
      </c>
      <c r="D26" t="s">
        <v>102</v>
      </c>
      <c r="E26" t="s">
        <v>47</v>
      </c>
      <c r="F26" t="s">
        <v>73</v>
      </c>
    </row>
    <row r="27" spans="1:6" x14ac:dyDescent="0.25">
      <c r="A27" t="s">
        <v>34</v>
      </c>
      <c r="B27">
        <v>35</v>
      </c>
      <c r="C27" t="s">
        <v>35</v>
      </c>
      <c r="D27" t="s">
        <v>103</v>
      </c>
      <c r="E27" t="s">
        <v>47</v>
      </c>
      <c r="F27" t="s">
        <v>73</v>
      </c>
    </row>
    <row r="28" spans="1:6" x14ac:dyDescent="0.25">
      <c r="A28" t="s">
        <v>34</v>
      </c>
      <c r="B28">
        <v>36</v>
      </c>
      <c r="C28" t="s">
        <v>35</v>
      </c>
      <c r="D28" t="s">
        <v>104</v>
      </c>
      <c r="E28" t="s">
        <v>78</v>
      </c>
      <c r="F28" t="s">
        <v>73</v>
      </c>
    </row>
    <row r="29" spans="1:6" x14ac:dyDescent="0.25">
      <c r="A29" t="s">
        <v>34</v>
      </c>
      <c r="B29">
        <v>37</v>
      </c>
      <c r="C29" t="s">
        <v>35</v>
      </c>
      <c r="D29" t="s">
        <v>105</v>
      </c>
      <c r="E29" t="s">
        <v>78</v>
      </c>
      <c r="F29" t="s">
        <v>73</v>
      </c>
    </row>
    <row r="30" spans="1:6" x14ac:dyDescent="0.25">
      <c r="A30" t="s">
        <v>34</v>
      </c>
      <c r="B30">
        <v>38</v>
      </c>
      <c r="C30" t="s">
        <v>35</v>
      </c>
      <c r="D30" t="s">
        <v>106</v>
      </c>
      <c r="E30" t="s">
        <v>41</v>
      </c>
      <c r="F30" t="s">
        <v>73</v>
      </c>
    </row>
    <row r="31" spans="1:6" x14ac:dyDescent="0.25">
      <c r="A31" t="s">
        <v>34</v>
      </c>
      <c r="B31">
        <v>39</v>
      </c>
      <c r="C31" t="s">
        <v>35</v>
      </c>
      <c r="D31" t="s">
        <v>111</v>
      </c>
      <c r="E31" t="s">
        <v>41</v>
      </c>
      <c r="F31" t="s">
        <v>73</v>
      </c>
    </row>
    <row r="32" spans="1:6" x14ac:dyDescent="0.25">
      <c r="A32" t="s">
        <v>67</v>
      </c>
      <c r="B32">
        <v>50</v>
      </c>
      <c r="C32" t="s">
        <v>68</v>
      </c>
      <c r="D32" t="s">
        <v>76</v>
      </c>
      <c r="E32" t="s">
        <v>80</v>
      </c>
      <c r="F32" t="s">
        <v>69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01B6-5B2D-4C63-87A9-B0F352D632BD}">
  <dimension ref="A1:G10"/>
  <sheetViews>
    <sheetView workbookViewId="0">
      <selection activeCell="F11" sqref="F11"/>
    </sheetView>
  </sheetViews>
  <sheetFormatPr defaultRowHeight="15" x14ac:dyDescent="0.25"/>
  <cols>
    <col min="3" max="3" width="13.85546875" bestFit="1" customWidth="1"/>
    <col min="4" max="4" width="12.42578125" bestFit="1" customWidth="1"/>
    <col min="5" max="5" width="10.28515625" bestFit="1" customWidth="1"/>
    <col min="6" max="6" width="15" bestFit="1" customWidth="1"/>
    <col min="7" max="7" width="40.140625" bestFit="1" customWidth="1"/>
  </cols>
  <sheetData>
    <row r="1" spans="1:7" x14ac:dyDescent="0.25">
      <c r="A1" t="s">
        <v>0</v>
      </c>
      <c r="B1" t="s">
        <v>56</v>
      </c>
      <c r="C1" t="s">
        <v>57</v>
      </c>
      <c r="D1" t="s">
        <v>58</v>
      </c>
      <c r="E1" t="s">
        <v>59</v>
      </c>
      <c r="F1" t="s">
        <v>60</v>
      </c>
      <c r="G1" t="s">
        <v>61</v>
      </c>
    </row>
    <row r="2" spans="1:7" x14ac:dyDescent="0.25">
      <c r="A2" t="s">
        <v>6</v>
      </c>
      <c r="B2" t="s">
        <v>34</v>
      </c>
      <c r="C2">
        <f>beats!B2</f>
        <v>10</v>
      </c>
      <c r="G2" t="s">
        <v>82</v>
      </c>
    </row>
    <row r="3" spans="1:7" x14ac:dyDescent="0.25">
      <c r="A3" t="s">
        <v>10</v>
      </c>
      <c r="B3" t="s">
        <v>34</v>
      </c>
      <c r="C3">
        <f>beats!B2</f>
        <v>10</v>
      </c>
      <c r="G3" t="s">
        <v>82</v>
      </c>
    </row>
    <row r="4" spans="1:7" x14ac:dyDescent="0.25">
      <c r="A4" t="s">
        <v>14</v>
      </c>
      <c r="B4" t="s">
        <v>34</v>
      </c>
      <c r="C4">
        <f>beats!B2</f>
        <v>10</v>
      </c>
      <c r="E4" t="s">
        <v>34</v>
      </c>
      <c r="F4">
        <f>beats!B2</f>
        <v>10</v>
      </c>
      <c r="G4" t="s">
        <v>63</v>
      </c>
    </row>
    <row r="5" spans="1:7" x14ac:dyDescent="0.25">
      <c r="A5" t="s">
        <v>12</v>
      </c>
      <c r="B5" t="s">
        <v>34</v>
      </c>
      <c r="C5">
        <f>beats!B3</f>
        <v>11</v>
      </c>
      <c r="E5" t="s">
        <v>34</v>
      </c>
      <c r="F5">
        <f>beats!B5</f>
        <v>13</v>
      </c>
      <c r="G5" t="s">
        <v>85</v>
      </c>
    </row>
    <row r="6" spans="1:7" x14ac:dyDescent="0.25">
      <c r="A6" t="s">
        <v>14</v>
      </c>
      <c r="B6" t="s">
        <v>34</v>
      </c>
      <c r="C6">
        <f>beats!B7</f>
        <v>15</v>
      </c>
      <c r="E6" t="s">
        <v>34</v>
      </c>
      <c r="F6">
        <f>beats!B9</f>
        <v>17</v>
      </c>
      <c r="G6" t="s">
        <v>108</v>
      </c>
    </row>
    <row r="7" spans="1:7" x14ac:dyDescent="0.25">
      <c r="A7" t="s">
        <v>44</v>
      </c>
      <c r="B7" t="s">
        <v>34</v>
      </c>
      <c r="C7">
        <f>beats!B17</f>
        <v>25</v>
      </c>
      <c r="E7" t="s">
        <v>34</v>
      </c>
      <c r="F7">
        <f>beats!B18</f>
        <v>26</v>
      </c>
      <c r="G7" t="s">
        <v>64</v>
      </c>
    </row>
    <row r="8" spans="1:7" x14ac:dyDescent="0.25">
      <c r="A8" t="s">
        <v>92</v>
      </c>
      <c r="B8" t="s">
        <v>34</v>
      </c>
      <c r="C8">
        <f>beats!B20</f>
        <v>28</v>
      </c>
      <c r="E8" t="s">
        <v>34</v>
      </c>
      <c r="F8">
        <f>beats!B21</f>
        <v>29</v>
      </c>
      <c r="G8" t="s">
        <v>109</v>
      </c>
    </row>
    <row r="9" spans="1:7" x14ac:dyDescent="0.25">
      <c r="A9" t="s">
        <v>12</v>
      </c>
      <c r="B9" t="s">
        <v>34</v>
      </c>
      <c r="C9">
        <f>beats!B22</f>
        <v>30</v>
      </c>
      <c r="G9" t="s">
        <v>110</v>
      </c>
    </row>
    <row r="10" spans="1:7" x14ac:dyDescent="0.25">
      <c r="A10" t="s">
        <v>44</v>
      </c>
      <c r="B10" t="s">
        <v>34</v>
      </c>
      <c r="C10">
        <f>beats!B25</f>
        <v>33</v>
      </c>
      <c r="D10" t="s">
        <v>47</v>
      </c>
      <c r="E10" t="s">
        <v>34</v>
      </c>
      <c r="F10">
        <f>beats!B27</f>
        <v>35</v>
      </c>
      <c r="G10" t="s">
        <v>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493BF-D343-46EF-AB39-E5F4461CCFFF}">
  <dimension ref="A1:H20"/>
  <sheetViews>
    <sheetView tabSelected="1" workbookViewId="0">
      <selection activeCell="F16" sqref="F16"/>
    </sheetView>
  </sheetViews>
  <sheetFormatPr defaultRowHeight="15" x14ac:dyDescent="0.25"/>
  <cols>
    <col min="2" max="2" width="15.85546875" bestFit="1" customWidth="1"/>
    <col min="3" max="3" width="15.85546875" customWidth="1"/>
    <col min="4" max="4" width="14" bestFit="1" customWidth="1"/>
    <col min="5" max="5" width="70.7109375" bestFit="1" customWidth="1"/>
    <col min="6" max="6" width="13.28515625" bestFit="1" customWidth="1"/>
    <col min="7" max="7" width="19.42578125" bestFit="1" customWidth="1"/>
    <col min="8" max="8" width="20.28515625" bestFit="1" customWidth="1"/>
  </cols>
  <sheetData>
    <row r="1" spans="1:8" x14ac:dyDescent="0.25">
      <c r="A1" t="s">
        <v>0</v>
      </c>
      <c r="B1" t="s">
        <v>49</v>
      </c>
      <c r="C1" t="s">
        <v>28</v>
      </c>
      <c r="D1" t="s">
        <v>50</v>
      </c>
      <c r="E1" t="s">
        <v>51</v>
      </c>
      <c r="F1" t="s">
        <v>114</v>
      </c>
      <c r="G1" t="s">
        <v>5</v>
      </c>
      <c r="H1" t="s">
        <v>113</v>
      </c>
    </row>
    <row r="2" spans="1:8" x14ac:dyDescent="0.25">
      <c r="A2" t="s">
        <v>14</v>
      </c>
      <c r="B2" t="s">
        <v>34</v>
      </c>
      <c r="C2">
        <f>beats!B2</f>
        <v>10</v>
      </c>
      <c r="D2" t="s">
        <v>55</v>
      </c>
      <c r="E2" t="s">
        <v>145</v>
      </c>
    </row>
    <row r="3" spans="1:8" x14ac:dyDescent="0.25">
      <c r="A3" t="s">
        <v>14</v>
      </c>
      <c r="B3" t="s">
        <v>34</v>
      </c>
      <c r="C3">
        <f>beats!B2</f>
        <v>10</v>
      </c>
      <c r="D3" t="s">
        <v>55</v>
      </c>
      <c r="E3" t="s">
        <v>144</v>
      </c>
    </row>
    <row r="4" spans="1:8" x14ac:dyDescent="0.25">
      <c r="A4" t="s">
        <v>10</v>
      </c>
      <c r="B4" t="s">
        <v>34</v>
      </c>
      <c r="C4">
        <f>beats!B2</f>
        <v>10</v>
      </c>
      <c r="D4" t="s">
        <v>55</v>
      </c>
      <c r="E4" t="s">
        <v>137</v>
      </c>
    </row>
    <row r="5" spans="1:8" x14ac:dyDescent="0.25">
      <c r="A5" t="s">
        <v>6</v>
      </c>
      <c r="B5" t="s">
        <v>34</v>
      </c>
      <c r="C5">
        <f>beats!B2</f>
        <v>10</v>
      </c>
      <c r="D5" t="s">
        <v>55</v>
      </c>
      <c r="E5" t="s">
        <v>138</v>
      </c>
    </row>
    <row r="6" spans="1:8" x14ac:dyDescent="0.25">
      <c r="A6" t="s">
        <v>12</v>
      </c>
      <c r="B6" t="s">
        <v>34</v>
      </c>
      <c r="C6">
        <f>beats!B4</f>
        <v>12</v>
      </c>
      <c r="D6" t="s">
        <v>55</v>
      </c>
      <c r="E6" t="s">
        <v>139</v>
      </c>
    </row>
    <row r="7" spans="1:8" x14ac:dyDescent="0.25">
      <c r="A7" t="s">
        <v>14</v>
      </c>
      <c r="B7" t="s">
        <v>34</v>
      </c>
      <c r="C7">
        <f>beats!B9</f>
        <v>17</v>
      </c>
      <c r="D7" t="s">
        <v>55</v>
      </c>
      <c r="E7" t="s">
        <v>140</v>
      </c>
    </row>
    <row r="8" spans="1:8" x14ac:dyDescent="0.25">
      <c r="A8" t="s">
        <v>14</v>
      </c>
      <c r="B8" t="s">
        <v>34</v>
      </c>
      <c r="C8">
        <f>beats!B9</f>
        <v>17</v>
      </c>
      <c r="D8" t="s">
        <v>55</v>
      </c>
      <c r="E8" t="s">
        <v>131</v>
      </c>
    </row>
    <row r="9" spans="1:8" x14ac:dyDescent="0.25">
      <c r="A9" t="s">
        <v>6</v>
      </c>
      <c r="B9" t="s">
        <v>34</v>
      </c>
      <c r="C9">
        <f>beats!B9</f>
        <v>17</v>
      </c>
      <c r="D9" t="s">
        <v>55</v>
      </c>
      <c r="E9" t="s">
        <v>133</v>
      </c>
    </row>
    <row r="10" spans="1:8" x14ac:dyDescent="0.25">
      <c r="A10" t="s">
        <v>10</v>
      </c>
      <c r="B10" t="s">
        <v>34</v>
      </c>
      <c r="C10">
        <f>beats!B9</f>
        <v>17</v>
      </c>
      <c r="D10" t="s">
        <v>55</v>
      </c>
      <c r="E10" t="s">
        <v>134</v>
      </c>
    </row>
    <row r="11" spans="1:8" x14ac:dyDescent="0.25">
      <c r="A11" t="s">
        <v>12</v>
      </c>
      <c r="B11" t="s">
        <v>34</v>
      </c>
      <c r="C11">
        <f>beats!B9</f>
        <v>17</v>
      </c>
      <c r="D11" t="s">
        <v>55</v>
      </c>
      <c r="E11" t="s">
        <v>135</v>
      </c>
    </row>
    <row r="12" spans="1:8" x14ac:dyDescent="0.25">
      <c r="A12" t="s">
        <v>92</v>
      </c>
      <c r="B12" t="s">
        <v>34</v>
      </c>
      <c r="C12">
        <f>beats!B19</f>
        <v>27</v>
      </c>
      <c r="D12" t="s">
        <v>55</v>
      </c>
      <c r="E12" t="s">
        <v>141</v>
      </c>
    </row>
    <row r="13" spans="1:8" x14ac:dyDescent="0.25">
      <c r="A13" t="s">
        <v>44</v>
      </c>
      <c r="B13" t="s">
        <v>34</v>
      </c>
      <c r="C13">
        <f>beats!B24</f>
        <v>32</v>
      </c>
      <c r="D13" t="s">
        <v>55</v>
      </c>
      <c r="E13" t="s">
        <v>143</v>
      </c>
    </row>
    <row r="14" spans="1:8" x14ac:dyDescent="0.25">
      <c r="A14" t="s">
        <v>44</v>
      </c>
      <c r="B14" t="s">
        <v>34</v>
      </c>
      <c r="C14">
        <f>beats!B24</f>
        <v>32</v>
      </c>
      <c r="D14" t="s">
        <v>55</v>
      </c>
      <c r="E14" t="s">
        <v>132</v>
      </c>
      <c r="F14" t="s">
        <v>52</v>
      </c>
      <c r="G14" t="s">
        <v>127</v>
      </c>
      <c r="H14" t="s">
        <v>128</v>
      </c>
    </row>
    <row r="15" spans="1:8" x14ac:dyDescent="0.25">
      <c r="A15" t="s">
        <v>44</v>
      </c>
      <c r="B15" t="s">
        <v>34</v>
      </c>
      <c r="C15">
        <f>beats!B24</f>
        <v>32</v>
      </c>
      <c r="D15" t="s">
        <v>2</v>
      </c>
      <c r="E15" t="s">
        <v>53</v>
      </c>
    </row>
    <row r="16" spans="1:8" x14ac:dyDescent="0.25">
      <c r="A16" t="s">
        <v>44</v>
      </c>
      <c r="B16" t="s">
        <v>34</v>
      </c>
      <c r="C16">
        <f>beats!B24</f>
        <v>32</v>
      </c>
      <c r="D16" t="s">
        <v>147</v>
      </c>
      <c r="E16" t="s">
        <v>148</v>
      </c>
    </row>
    <row r="17" spans="1:5" x14ac:dyDescent="0.25">
      <c r="A17" t="s">
        <v>14</v>
      </c>
      <c r="B17" t="s">
        <v>34</v>
      </c>
      <c r="C17">
        <f>beats!B30</f>
        <v>38</v>
      </c>
      <c r="D17" t="s">
        <v>55</v>
      </c>
      <c r="E17" t="s">
        <v>146</v>
      </c>
    </row>
    <row r="18" spans="1:5" x14ac:dyDescent="0.25">
      <c r="A18" t="s">
        <v>6</v>
      </c>
      <c r="B18" t="s">
        <v>34</v>
      </c>
      <c r="C18">
        <f>beats!B32</f>
        <v>50</v>
      </c>
      <c r="D18" t="s">
        <v>55</v>
      </c>
      <c r="E18" t="s">
        <v>76</v>
      </c>
    </row>
    <row r="19" spans="1:5" x14ac:dyDescent="0.25">
      <c r="A19" t="s">
        <v>10</v>
      </c>
      <c r="B19" t="s">
        <v>34</v>
      </c>
      <c r="C19">
        <f>beats!B32</f>
        <v>50</v>
      </c>
      <c r="D19" t="s">
        <v>55</v>
      </c>
      <c r="E19" t="s">
        <v>76</v>
      </c>
    </row>
    <row r="20" spans="1:5" x14ac:dyDescent="0.25">
      <c r="A20" t="s">
        <v>12</v>
      </c>
      <c r="B20" t="s">
        <v>34</v>
      </c>
      <c r="C20">
        <f>beats!B32</f>
        <v>50</v>
      </c>
      <c r="D20" t="s">
        <v>55</v>
      </c>
      <c r="E20" t="s">
        <v>136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characters</vt:lpstr>
      <vt:lpstr>locations</vt:lpstr>
      <vt:lpstr>beats</vt:lpstr>
      <vt:lpstr>appearances</vt:lpstr>
      <vt:lpstr>codex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Valentino Salerni</dc:creator>
  <cp:lastModifiedBy>Valentino Salerni</cp:lastModifiedBy>
  <dcterms:created xsi:type="dcterms:W3CDTF">2026-06-26T00:25:29Z</dcterms:created>
  <dcterms:modified xsi:type="dcterms:W3CDTF">2026-06-28T00:55:53Z</dcterms:modified>
</cp:coreProperties>
</file>
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a5a9201bc5826c/Documentos/trails_orbal_atlas/"/>
    </mc:Choice>
  </mc:AlternateContent>
  <xr:revisionPtr revIDLastSave="799" documentId="13_ncr:1_{54315043-5A41-45C0-BA2E-F1BBE0C76030}" xr6:coauthVersionLast="47" xr6:coauthVersionMax="47" xr10:uidLastSave="{D10308AF-B543-468A-9FC9-E7E745FB70F8}"/>
  <bookViews>
    <workbookView xWindow="-120" yWindow="-120" windowWidth="29040" windowHeight="15720" activeTab="3" xr2:uid="{B6393BEF-99C0-4DAE-AD63-40B518CD1F0D}"/>
  </bookViews>
  <sheets>
    <sheet name="characters" sheetId="1" r:id="rId1"/>
    <sheet name="locations" sheetId="2" r:id="rId2"/>
    <sheet name="beats" sheetId="3" r:id="rId3"/>
    <sheet name="appearances" sheetId="5" r:id="rId4"/>
    <sheet name="codex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7" i="5" l="1"/>
  <c r="F26" i="5"/>
  <c r="F16" i="5"/>
  <c r="C35" i="4"/>
  <c r="C34" i="4"/>
  <c r="C33" i="4"/>
  <c r="C16" i="5"/>
  <c r="C27" i="5"/>
  <c r="C47" i="4"/>
  <c r="C46" i="4"/>
  <c r="C45" i="4"/>
  <c r="C44" i="4"/>
  <c r="C43" i="4"/>
  <c r="C42" i="4"/>
  <c r="C41" i="4"/>
  <c r="C26" i="5"/>
  <c r="C40" i="4"/>
  <c r="C39" i="4"/>
  <c r="C38" i="4"/>
  <c r="C37" i="4"/>
  <c r="C36" i="4"/>
  <c r="F25" i="5"/>
  <c r="C25" i="5"/>
  <c r="F24" i="5"/>
  <c r="C24" i="5"/>
  <c r="F11" i="5"/>
  <c r="F23" i="5"/>
  <c r="C23" i="5"/>
  <c r="F22" i="5"/>
  <c r="C22" i="5"/>
  <c r="F21" i="5"/>
  <c r="C21" i="5"/>
  <c r="C32" i="4"/>
  <c r="F20" i="5"/>
  <c r="F17" i="5"/>
  <c r="C20" i="5"/>
  <c r="C31" i="4"/>
  <c r="F19" i="5"/>
  <c r="F18" i="5"/>
  <c r="C18" i="5"/>
  <c r="C19" i="5"/>
  <c r="C30" i="4"/>
  <c r="C29" i="4"/>
  <c r="C28" i="4"/>
  <c r="C17" i="5"/>
  <c r="F15" i="5"/>
  <c r="C15" i="5"/>
  <c r="C27" i="4"/>
  <c r="F14" i="5"/>
  <c r="C14" i="5"/>
  <c r="F13" i="5"/>
  <c r="C13" i="5"/>
  <c r="F12" i="5"/>
  <c r="C12" i="5"/>
  <c r="C26" i="4"/>
  <c r="C25" i="4"/>
  <c r="C24" i="4"/>
  <c r="C23" i="4"/>
  <c r="C22" i="4"/>
  <c r="C20" i="4"/>
  <c r="C21" i="4"/>
  <c r="C11" i="5"/>
  <c r="C15" i="4"/>
  <c r="C3" i="4"/>
  <c r="C2" i="4"/>
  <c r="C4" i="4"/>
  <c r="C13" i="4"/>
  <c r="C19" i="4"/>
  <c r="C18" i="4"/>
  <c r="C11" i="4"/>
  <c r="C10" i="4"/>
  <c r="C9" i="4"/>
  <c r="C8" i="4"/>
  <c r="C7" i="4"/>
  <c r="C17" i="4"/>
  <c r="C16" i="4"/>
  <c r="C14" i="4"/>
  <c r="C12" i="4"/>
  <c r="C6" i="4"/>
  <c r="C5" i="4"/>
  <c r="F10" i="5"/>
  <c r="C10" i="5"/>
  <c r="C9" i="5"/>
  <c r="F8" i="5"/>
  <c r="C8" i="5"/>
  <c r="F7" i="5"/>
  <c r="C7" i="5"/>
  <c r="F6" i="5"/>
  <c r="C6" i="5"/>
  <c r="F5" i="5"/>
  <c r="C5" i="5"/>
  <c r="F4" i="5"/>
  <c r="C4" i="5"/>
  <c r="C3" i="5"/>
  <c r="C2" i="5"/>
</calcChain>
</file>

<file path=xl/sharedStrings.xml><?xml version="1.0" encoding="utf-8"?>
<sst xmlns="http://schemas.openxmlformats.org/spreadsheetml/2006/main" count="926" uniqueCount="299">
  <si>
    <t>char_id</t>
  </si>
  <si>
    <t>display_name</t>
  </si>
  <si>
    <t>faction</t>
  </si>
  <si>
    <t>first_met_location</t>
  </si>
  <si>
    <t>first_appearance_beat</t>
  </si>
  <si>
    <t>icon</t>
  </si>
  <si>
    <t>estelle</t>
  </si>
  <si>
    <t>Estelle Bright</t>
  </si>
  <si>
    <t>Bracer Guild</t>
  </si>
  <si>
    <t>rolent</t>
  </si>
  <si>
    <t>joshua</t>
  </si>
  <si>
    <t>Joshua Bright</t>
  </si>
  <si>
    <t>schera</t>
  </si>
  <si>
    <t>Scherazard Harvey</t>
  </si>
  <si>
    <t>cassius</t>
  </si>
  <si>
    <t>Cassius Bright</t>
  </si>
  <si>
    <t>loc_id</t>
  </si>
  <si>
    <t>name</t>
  </si>
  <si>
    <t>parent_loc_id</t>
  </si>
  <si>
    <t>type</t>
  </si>
  <si>
    <t>map_x</t>
  </si>
  <si>
    <t>map_y</t>
  </si>
  <si>
    <t>Rolent</t>
  </si>
  <si>
    <t>liberl</t>
  </si>
  <si>
    <t>city</t>
  </si>
  <si>
    <t>Liberl</t>
  </si>
  <si>
    <t>nation</t>
  </si>
  <si>
    <t>beat_id</t>
  </si>
  <si>
    <t>sequence</t>
  </si>
  <si>
    <t>chapter</t>
  </si>
  <si>
    <t>title</t>
  </si>
  <si>
    <t>default_location</t>
  </si>
  <si>
    <t>approx_date</t>
  </si>
  <si>
    <t>March 1202</t>
  </si>
  <si>
    <t>fc_pro</t>
  </si>
  <si>
    <t>Prologue</t>
  </si>
  <si>
    <t>Going to Rolent</t>
  </si>
  <si>
    <t>perzel</t>
  </si>
  <si>
    <t>Perzel Farm</t>
  </si>
  <si>
    <t>esmelas</t>
  </si>
  <si>
    <t>district</t>
  </si>
  <si>
    <t>bright_house</t>
  </si>
  <si>
    <t>malga</t>
  </si>
  <si>
    <t>Malga Mine</t>
  </si>
  <si>
    <t>josette</t>
  </si>
  <si>
    <t>Josette Haar</t>
  </si>
  <si>
    <t>Jenis Royal Academy</t>
  </si>
  <si>
    <t>mistwald</t>
  </si>
  <si>
    <t>Mistwald</t>
  </si>
  <si>
    <t>revealed_at_beat</t>
  </si>
  <si>
    <t>entry_type</t>
  </si>
  <si>
    <t>text</t>
  </si>
  <si>
    <t>Josette Capua</t>
  </si>
  <si>
    <t>Capua Sky Bandits</t>
  </si>
  <si>
    <t>bose</t>
  </si>
  <si>
    <t>bio</t>
  </si>
  <si>
    <t>join_beat</t>
  </si>
  <si>
    <t>join_sequence</t>
  </si>
  <si>
    <t>location</t>
  </si>
  <si>
    <t>leave_beat</t>
  </si>
  <si>
    <t>leave_sequence</t>
  </si>
  <si>
    <t>activity</t>
  </si>
  <si>
    <t>Chasing thief to Mistwald</t>
  </si>
  <si>
    <t>Sent children to buy newspaper</t>
  </si>
  <si>
    <t>Speaking to Rolent's mayor</t>
  </si>
  <si>
    <t>Fled on airship with his brother</t>
  </si>
  <si>
    <t>Bose</t>
  </si>
  <si>
    <t>fc_ch1</t>
  </si>
  <si>
    <t>Chapter 1</t>
  </si>
  <si>
    <t>June 1202</t>
  </si>
  <si>
    <t>Heading back home</t>
  </si>
  <si>
    <t>Heading back to Rolent</t>
  </si>
  <si>
    <t>April 1202</t>
  </si>
  <si>
    <t>May 1202</t>
  </si>
  <si>
    <t>Bright Family House</t>
  </si>
  <si>
    <t>Esmelas Tower</t>
  </si>
  <si>
    <t>Going to Bose in search of Cassius</t>
  </si>
  <si>
    <t>region</t>
  </si>
  <si>
    <t>rolent_city</t>
  </si>
  <si>
    <t>Rolent City</t>
  </si>
  <si>
    <t>bose_city</t>
  </si>
  <si>
    <t>Bose City</t>
  </si>
  <si>
    <t>Party leader</t>
  </si>
  <si>
    <t>Doing Junior Bracer Test</t>
  </si>
  <si>
    <t>Interrupted by Aina on the way home</t>
  </si>
  <si>
    <t>Dealing with Bracer duties</t>
  </si>
  <si>
    <t>Heading to Perzel Farm for Bracer job</t>
  </si>
  <si>
    <t>Dealing with crop detroying monsters</t>
  </si>
  <si>
    <t>Learned Cassius is leaving for work</t>
  </si>
  <si>
    <t>Going to the mine to retrieve crystal</t>
  </si>
  <si>
    <t>Rescuing miners from a cave in and recovering crystal</t>
  </si>
  <si>
    <t>Delivering crystal to Mayor Klaus, encountering Josette</t>
  </si>
  <si>
    <t>alba</t>
  </si>
  <si>
    <t>Professor Alba</t>
  </si>
  <si>
    <t>Archeologist</t>
  </si>
  <si>
    <t>Learning about reporter escort mission to Esmelas Tower</t>
  </si>
  <si>
    <t>Escorting reporters to the top of Esmelas Tower</t>
  </si>
  <si>
    <t>Encountered Professor Alba, learning about Tetracyclic Towers</t>
  </si>
  <si>
    <t>Returning to Rolent after escort mission</t>
  </si>
  <si>
    <t>Mayor bursts into Bracer Guild exclaiming how the Septium Crystal was stolen</t>
  </si>
  <si>
    <t>Searching for clues about the robbery, suspecting of Josette</t>
  </si>
  <si>
    <t>Encountered Capua Sky Bandits in the center of Mistwald with the crystal</t>
  </si>
  <si>
    <t>Fighting Josette to retrieve the crystal</t>
  </si>
  <si>
    <t>Retrived crystal but Josette is rescued by her brother on an airship and manages to flee</t>
  </si>
  <si>
    <t>Returning to Rolent with crystal</t>
  </si>
  <si>
    <t>Receiving first recommendation for promotion to senior bracer</t>
  </si>
  <si>
    <t>Returning Home</t>
  </si>
  <si>
    <t>Get sent to Rolent to pickup a newspaper for Cassius</t>
  </si>
  <si>
    <t>On a work trip with the guild</t>
  </si>
  <si>
    <t>Researching Tetracyclic Towers</t>
  </si>
  <si>
    <t>Guiding Estelle and Josua on their missions</t>
  </si>
  <si>
    <t>Learned the airliner Linde has disappeared over Bose, which Cassius was aboard</t>
  </si>
  <si>
    <t>show_name</t>
  </si>
  <si>
    <t>body</t>
  </si>
  <si>
    <t>reveal_name</t>
  </si>
  <si>
    <t>weismann1.webp</t>
  </si>
  <si>
    <t>weismannFullBody1.webp</t>
  </si>
  <si>
    <t>cassius1.png</t>
  </si>
  <si>
    <t>cassiusFullBody1.png</t>
  </si>
  <si>
    <t>josetteCapua1.png</t>
  </si>
  <si>
    <t>josetteFullBody1.webp</t>
  </si>
  <si>
    <t>estelle1.png</t>
  </si>
  <si>
    <t>joshua1.png</t>
  </si>
  <si>
    <t>estelleFullBody1.webp</t>
  </si>
  <si>
    <t>joshuaFullBody1.png</t>
  </si>
  <si>
    <t>scherazard1.webp</t>
  </si>
  <si>
    <t>scherazardFullBody1.webp</t>
  </si>
  <si>
    <t>josetteCapua2.png</t>
  </si>
  <si>
    <t>josetteFullBody2.png</t>
  </si>
  <si>
    <t>Attempting to rescue children from Esmelas Tower</t>
  </si>
  <si>
    <t>Ambushed by monsters, Cassius comes to the rescue</t>
  </si>
  <si>
    <t>On a work trip with the Bracer Guild</t>
  </si>
  <si>
    <t>Attempted to steal the Esmelas Crystal that was going to be gifted to the Queen</t>
  </si>
  <si>
    <t>Doing the easier of the bracer jobs left over by Cassius with Joshua</t>
  </si>
  <si>
    <t>Doing the easier of the bracer jobs left over by Cassius with Estelle</t>
  </si>
  <si>
    <t>Doing the hardest of the bracer jobs left by Cassius</t>
  </si>
  <si>
    <t>Accompanying Estelle and Joshua to Bose on their search for Cassius</t>
  </si>
  <si>
    <t>Adopted brother of Estelle</t>
  </si>
  <si>
    <t>Her mother died protecting her during the 100 day war</t>
  </si>
  <si>
    <t>Bracer mentor for Estelle and Joshua</t>
  </si>
  <si>
    <t>S rank Bracer</t>
  </si>
  <si>
    <t>Archeologist investigating the Tetracyclic towers</t>
  </si>
  <si>
    <t>Learning about Esmelas Crystal that needs retrieving from Mayor Klaus</t>
  </si>
  <si>
    <t>Faked being a Jenis Royal Academy student to appraoch Mayor Klaus</t>
  </si>
  <si>
    <t>Father of Estelle, adoptive father of Josua</t>
  </si>
  <si>
    <t>Widowed since the 100 day war</t>
  </si>
  <si>
    <t>Disappeared on missing airliner</t>
  </si>
  <si>
    <t>former_faction</t>
  </si>
  <si>
    <t>Jenis Royal Academy (cover identity)</t>
  </si>
  <si>
    <t>Tagging along Estelle and Joshua on their search for Cassius</t>
  </si>
  <si>
    <t>Talking to Lugran on the Bracer Guild about the situation</t>
  </si>
  <si>
    <t>morgan</t>
  </si>
  <si>
    <t>General Morgan</t>
  </si>
  <si>
    <t>Liberl Army</t>
  </si>
  <si>
    <t>General of the Liberl army</t>
  </si>
  <si>
    <t>Dislikes the guild, and is not sharing information about the disappeared airliner</t>
  </si>
  <si>
    <t>Learned about General Morgan and his dislike for the guild</t>
  </si>
  <si>
    <t>Learned how General Morgan is not sharing infformation with the guild, and limiting their movements in regards to the Linde disappearance investigation</t>
  </si>
  <si>
    <t>Registering with the guild, going to Mayor Maybelle for a request</t>
  </si>
  <si>
    <t>Learn about the Mayor's request for bracers to investigate the incident, receive letter of introduction that would allow them to speak with Morgan about the Linde</t>
  </si>
  <si>
    <t>Going to haken Gate to speak with Morgan</t>
  </si>
  <si>
    <t>haken</t>
  </si>
  <si>
    <t>Haken Gate</t>
  </si>
  <si>
    <t>nebel</t>
  </si>
  <si>
    <t>Nebel Valley</t>
  </si>
  <si>
    <t>ravennue</t>
  </si>
  <si>
    <t>Ravennue Village</t>
  </si>
  <si>
    <t>amberl</t>
  </si>
  <si>
    <t>Amberl Tower</t>
  </si>
  <si>
    <t>valleria_shore</t>
  </si>
  <si>
    <t>Valleria Lakeshore</t>
  </si>
  <si>
    <t>krone_pass</t>
  </si>
  <si>
    <t>Krone Pass</t>
  </si>
  <si>
    <t>Morgan discloses the details, learn the Linde disappeared returning to Rolent, theorize it was hijacked by the Imperial Army for ransom or the cargo</t>
  </si>
  <si>
    <t>Learn the Capua Sky Bandits actually captured the Linde, and are demanding a ransom</t>
  </si>
  <si>
    <t>Captured the Linde alongside the rest of the Sky Pirates</t>
  </si>
  <si>
    <t>Accidentally reveal Bracer affiliation, get kicked out and Scherazard begind having an argument with Morgan about the military and the guild</t>
  </si>
  <si>
    <t>Believes the military is incompetent in situations like the Linde disappearance</t>
  </si>
  <si>
    <t>Believes the Guild is incomepetent in situations like the Linde disappearance</t>
  </si>
  <si>
    <t>Encounter a traveler from the Erebonia Empire while waiting, who attempts to follow the party to their conversation with Morgan before being shooed out</t>
  </si>
  <si>
    <t>Learn the traveler is called Olivier Lenheim, and agree to travel with him to Bose City</t>
  </si>
  <si>
    <t>Interrupted by the Erebonian traveler, who starts playing the lute and singing to difuse the situation</t>
  </si>
  <si>
    <t>olivier</t>
  </si>
  <si>
    <t>Erebonian Traveller</t>
  </si>
  <si>
    <t>Bard</t>
  </si>
  <si>
    <t>Wandeing bard and musician from the Empire, impossible to have a normal conversation with</t>
  </si>
  <si>
    <t>Olivier Lenheim</t>
  </si>
  <si>
    <t>Removing Bracer badges to not trigger Morgan while waiting for him to arrive</t>
  </si>
  <si>
    <t>Got shooed out from the meeting with Morgan he tried to sneak into</t>
  </si>
  <si>
    <t>Left after Olivier difused his argument with Scherazard</t>
  </si>
  <si>
    <t>Leaves to sightsee Bose</t>
  </si>
  <si>
    <t>Reporting to the Mayor and the Guild what happend with Morgan</t>
  </si>
  <si>
    <t>Encountered the reporters Nial and Dorothy, who give the party a tip on the Linde's disappearance in exchange for up to date information</t>
  </si>
  <si>
    <t>Decide to do some side-quests before pursuing the tip</t>
  </si>
  <si>
    <t>Encounter Alba at Amberl Tower and rescue him, after which he departs back to Bose</t>
  </si>
  <si>
    <t>Going to Ravennue Village in pursue of the tip</t>
  </si>
  <si>
    <t>agate</t>
  </si>
  <si>
    <t>Agate Crosner</t>
  </si>
  <si>
    <t>Was rescued by Estelle and Joshua in Amberl Tower, but decides to return to Bose alone</t>
  </si>
  <si>
    <t>Encounter Agate heading out of Ravennue, but he quickly leaves on another job after a short talk</t>
  </si>
  <si>
    <t>On a Bracer job</t>
  </si>
  <si>
    <t>Talk to Ravennue's mayor, encounter a kid that claims to have seen something the night the Linde disappeared</t>
  </si>
  <si>
    <t>Go to Ravennue's mine followin the kids' lead. Encounter it locked, returned to the city to get it unlocked</t>
  </si>
  <si>
    <t>Inside the mine, encounter Josette's brother emptying the Linde, confronted him but he manages to flee</t>
  </si>
  <si>
    <t>Decide to investigate the Linde and notice it is empty</t>
  </si>
  <si>
    <t>Morgan arrives with the army and arrests the party despite their pleas thinking they were lying, sending them to Haken Gate</t>
  </si>
  <si>
    <t>At the dungeon cell, encounter Olivier, who had also been arrested for drinking Bose's most expensive wine</t>
  </si>
  <si>
    <t>Helping the party to redeem himself for drinking Bose's most expensive wine</t>
  </si>
  <si>
    <t>Senior Bracer on a solo quest</t>
  </si>
  <si>
    <t>Arrested for drinking Bose's most expensive wine</t>
  </si>
  <si>
    <t>Mayor Maybelle comes and frees everyone, including Olivier on the condition he helps the the party solve the case</t>
  </si>
  <si>
    <t>At the same time the Capua Sky Bandits atatck Bose and steals almost every valuable item from the citizens of bose</t>
  </si>
  <si>
    <t>alan</t>
  </si>
  <si>
    <t>Alan Richard</t>
  </si>
  <si>
    <t>Going to Bose to see what happened</t>
  </si>
  <si>
    <t>Encounter Alan Richard, who apologizes for the armies behavior and allows the party to interrogate the citizens after they are done</t>
  </si>
  <si>
    <t>Head of the Liber Army Intelligence Division</t>
  </si>
  <si>
    <t>Investigating the assault in Bose by the Capua Sky bandits</t>
  </si>
  <si>
    <t>Raided Bose with the Sky Bandits and stole almost everyone's valueable possesions</t>
  </si>
  <si>
    <t>Wait for the Capua Sky Bandits to come back, Scherazard knocks out Olivier so he isn't exposed to danger by drinking him under the table</t>
  </si>
  <si>
    <t>Heavy drinker</t>
  </si>
  <si>
    <t>fc_ch2</t>
  </si>
  <si>
    <t>Got knocked out trying to outdrink Scherazard</t>
  </si>
  <si>
    <t>Tried outdrinking Scherazard and got knocked out</t>
  </si>
  <si>
    <t>loewe</t>
  </si>
  <si>
    <t>THAT guy</t>
  </si>
  <si>
    <t>Unknown</t>
  </si>
  <si>
    <t>Listened in to the Sky Bandit's conversation, who mention their oldest sibling has been behaving weirdly after meatting THAT guy</t>
  </si>
  <si>
    <t>THAT guy arrives, saying the ransom payment is underway, and that the queen will pay it herself</t>
  </si>
  <si>
    <t>Kyle, Josettes's borther, revelas their airship is parked near the lakeshore, the only possible place being Amberl Tower</t>
  </si>
  <si>
    <t>The party decide to go to Amberl Tower in search of their ship, only ot find it heavily guarded</t>
  </si>
  <si>
    <t>Finding a man named Lloyd who witnessed the Capua Sky Bandits alongside Valleria Lakeshore, and that they are coming back tonight</t>
  </si>
  <si>
    <t>Finding a way through the maze to rescue the hostages and defeat the Sky Bandits</t>
  </si>
  <si>
    <t>Rescued the hostages, fighting the Sky Pirates after they state how they would have killed the hostages after receiving the ransom</t>
  </si>
  <si>
    <t>Linde is rescued, but Cassius is nowhere to be found, the captain saying Cassis got off as soon as the linde took off</t>
  </si>
  <si>
    <t>Alan and the intelligence Division appear as teh Capua Sky Bandits try to flee and arrests them</t>
  </si>
  <si>
    <t>Returning to Bose to report findings, received second recommendation letter</t>
  </si>
  <si>
    <t>ruan</t>
  </si>
  <si>
    <t>Ruan</t>
  </si>
  <si>
    <t>ruan_city</t>
  </si>
  <si>
    <t>Ruan City</t>
  </si>
  <si>
    <t>Deciding to go to Ruan to obtain the next recommendation letter from the guild</t>
  </si>
  <si>
    <t>Part ways with Olivier and Scherazard who are going back to Rolent</t>
  </si>
  <si>
    <t>Chapter 2</t>
  </si>
  <si>
    <t>Preparing to head back to the Sky Bandit base</t>
  </si>
  <si>
    <t>Found themselves in Nebel Valley after boarding the ship, which was the Capua Sky Pirates' hideout</t>
  </si>
  <si>
    <t>Left after informing the Sky Bandits that the ransom payment is coming</t>
  </si>
  <si>
    <t>Going to Rolent with Scherazard</t>
  </si>
  <si>
    <t>Taken away by the Intelligence Division</t>
  </si>
  <si>
    <t>Arrested the Capua Sky Bandits</t>
  </si>
  <si>
    <t>Assures the Capua Sky Bandits that the ransom payment is coming</t>
  </si>
  <si>
    <t>Arrested the Capua Sky Bandits while they tried fleeing</t>
  </si>
  <si>
    <t>Arrested by the Intelligence Division after attempting to flee from the Bracer Guild operation</t>
  </si>
  <si>
    <t>Never boarded the Linde, and has not been spotted since</t>
  </si>
  <si>
    <t>Received second recommendation letter</t>
  </si>
  <si>
    <t>Going to Rolent with Olivier</t>
  </si>
  <si>
    <t>Left a letter for Estelle and Joshua explaining he cannot come back until the Queen's birthday cermony</t>
  </si>
  <si>
    <t>Urges Estelle and joshua to keep climbing the Bracer ranks to fins him</t>
  </si>
  <si>
    <t>Received a parcel with a strange orbment to be analysed by "R"</t>
  </si>
  <si>
    <t>Decided to head to Ruan to continue climbing the Bracer ranks</t>
  </si>
  <si>
    <t>Is involved with the Erebonian Empire government, and has been communicating with them secretely during a "misison"</t>
  </si>
  <si>
    <t>Suspects of Olivier of being a spy for the Erebonian Empire</t>
  </si>
  <si>
    <t>Setting out for Ruan</t>
  </si>
  <si>
    <t>Stopping at the Krone Pass Checkpoint for the night</t>
  </si>
  <si>
    <t>manoria</t>
  </si>
  <si>
    <t>Manoria</t>
  </si>
  <si>
    <t>jenis</t>
  </si>
  <si>
    <t>sapphirl</t>
  </si>
  <si>
    <t>Sapphirl Tower</t>
  </si>
  <si>
    <t>letten</t>
  </si>
  <si>
    <t>varenne</t>
  </si>
  <si>
    <t>Varenne Lighthouse</t>
  </si>
  <si>
    <t>mercia</t>
  </si>
  <si>
    <t>Mercia Orphanage</t>
  </si>
  <si>
    <t>loeweFullBody1.webp</t>
  </si>
  <si>
    <t>loewe1.webp</t>
  </si>
  <si>
    <t>morganFullBody1.webp</t>
  </si>
  <si>
    <t>agateFullBody1.webp</t>
  </si>
  <si>
    <t>morgan1.webp</t>
  </si>
  <si>
    <t>olivier1.png</t>
  </si>
  <si>
    <t>olivierFullBody1.png</t>
  </si>
  <si>
    <t>agate1.png</t>
  </si>
  <si>
    <t>alan1.png</t>
  </si>
  <si>
    <t>alanFullBody1.png</t>
  </si>
  <si>
    <t>Accompanying the gang to the Sky Bandit hideout</t>
  </si>
  <si>
    <t>Arrested the Bracers beleiving they kidnapped the Linde</t>
  </si>
  <si>
    <t>Josette's brother started acting weird after meeting him</t>
  </si>
  <si>
    <t>Suspicious of THAT guy as his brother started acting weird after meeting him</t>
  </si>
  <si>
    <t>travel_mode</t>
  </si>
  <si>
    <t>air</t>
  </si>
  <si>
    <t>Olivier interrupts while they are planning their assault</t>
  </si>
  <si>
    <t>Olivier suggests sneaking into the ship, which somehow works</t>
  </si>
  <si>
    <t>The Sky Bandit's leader, Josette's brother, says he has no memories of what happened after meeting THAT guy</t>
  </si>
  <si>
    <t>Defeated the Capua Sky Pirates</t>
  </si>
  <si>
    <t>After separating, Olivier is seen talking with someone about a mission on an orbment</t>
  </si>
  <si>
    <t>Scherazard confronts Olivier, and Olivier confesses he is involved with the Imperial Governmnet</t>
  </si>
  <si>
    <t>Also received a parcel intended for Cassius, with a black myserious orbment from someone named "K", and that he should take it to "R"</t>
  </si>
  <si>
    <t>Received a parcel from Cassius urging them to keep climbing the ranks, and he cannot return until the queen's birthday ceremony</t>
  </si>
  <si>
    <t>Air Letten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</si>
</sst>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50901-8053-4627-8044-9432C6A9EB89}">
  <dimension ref="A1:G12"/>
  <sheetViews>
    <sheetView workbookViewId="0">
      <selection activeCell="F12" sqref="F12"/>
    </sheetView>
  </sheetViews>
  <sheetFormatPr defaultRowHeight="15" x14ac:dyDescent="0.25"/>
  <cols>
    <col min="2" max="2" width="18.28515625" bestFit="1" customWidth="1"/>
    <col min="3" max="3" width="19.42578125" bestFit="1" customWidth="1"/>
    <col min="4" max="4" width="16.85546875" bestFit="1" customWidth="1"/>
    <col min="5" max="5" width="20.85546875" bestFit="1" customWidth="1"/>
    <col min="6" max="6" width="21.5703125" bestFit="1" customWidth="1"/>
    <col min="7" max="7" width="24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113</v>
      </c>
    </row>
    <row r="2" spans="1:7" x14ac:dyDescent="0.25">
      <c r="A2" t="s">
        <v>6</v>
      </c>
      <c r="B2" t="s">
        <v>7</v>
      </c>
      <c r="C2" t="s">
        <v>8</v>
      </c>
      <c r="D2" t="s">
        <v>41</v>
      </c>
      <c r="E2" t="s">
        <v>34</v>
      </c>
      <c r="F2" t="s">
        <v>121</v>
      </c>
      <c r="G2" t="s">
        <v>123</v>
      </c>
    </row>
    <row r="3" spans="1:7" x14ac:dyDescent="0.25">
      <c r="A3" t="s">
        <v>10</v>
      </c>
      <c r="B3" t="s">
        <v>11</v>
      </c>
      <c r="C3" t="s">
        <v>8</v>
      </c>
      <c r="D3" t="s">
        <v>41</v>
      </c>
      <c r="E3" t="s">
        <v>34</v>
      </c>
      <c r="F3" t="s">
        <v>122</v>
      </c>
      <c r="G3" t="s">
        <v>124</v>
      </c>
    </row>
    <row r="4" spans="1:7" x14ac:dyDescent="0.25">
      <c r="A4" t="s">
        <v>12</v>
      </c>
      <c r="B4" t="s">
        <v>13</v>
      </c>
      <c r="C4" t="s">
        <v>8</v>
      </c>
      <c r="D4" t="s">
        <v>78</v>
      </c>
      <c r="E4" t="s">
        <v>34</v>
      </c>
      <c r="F4" t="s">
        <v>125</v>
      </c>
      <c r="G4" t="s">
        <v>126</v>
      </c>
    </row>
    <row r="5" spans="1:7" x14ac:dyDescent="0.25">
      <c r="A5" t="s">
        <v>14</v>
      </c>
      <c r="B5" t="s">
        <v>15</v>
      </c>
      <c r="C5" t="s">
        <v>8</v>
      </c>
      <c r="D5" t="s">
        <v>41</v>
      </c>
      <c r="E5" t="s">
        <v>34</v>
      </c>
      <c r="F5" t="s">
        <v>117</v>
      </c>
      <c r="G5" t="s">
        <v>118</v>
      </c>
    </row>
    <row r="6" spans="1:7" x14ac:dyDescent="0.25">
      <c r="A6" t="s">
        <v>44</v>
      </c>
      <c r="B6" t="s">
        <v>45</v>
      </c>
      <c r="C6" t="s">
        <v>46</v>
      </c>
      <c r="D6" t="s">
        <v>78</v>
      </c>
      <c r="E6" t="s">
        <v>34</v>
      </c>
      <c r="F6" t="s">
        <v>119</v>
      </c>
      <c r="G6" t="s">
        <v>120</v>
      </c>
    </row>
    <row r="7" spans="1:7" x14ac:dyDescent="0.25">
      <c r="A7" t="s">
        <v>92</v>
      </c>
      <c r="B7" t="s">
        <v>93</v>
      </c>
      <c r="C7" t="s">
        <v>94</v>
      </c>
      <c r="D7" t="s">
        <v>39</v>
      </c>
      <c r="E7" t="s">
        <v>34</v>
      </c>
      <c r="F7" t="s">
        <v>115</v>
      </c>
      <c r="G7" t="s">
        <v>116</v>
      </c>
    </row>
    <row r="8" spans="1:7" x14ac:dyDescent="0.25">
      <c r="A8" t="s">
        <v>151</v>
      </c>
      <c r="B8" t="s">
        <v>152</v>
      </c>
      <c r="C8" t="s">
        <v>153</v>
      </c>
      <c r="D8" t="s">
        <v>161</v>
      </c>
      <c r="E8" t="s">
        <v>67</v>
      </c>
      <c r="F8" t="s">
        <v>278</v>
      </c>
      <c r="G8" t="s">
        <v>276</v>
      </c>
    </row>
    <row r="9" spans="1:7" x14ac:dyDescent="0.25">
      <c r="A9" t="s">
        <v>182</v>
      </c>
      <c r="B9" t="s">
        <v>183</v>
      </c>
      <c r="C9" t="s">
        <v>184</v>
      </c>
      <c r="D9" t="s">
        <v>161</v>
      </c>
      <c r="E9" t="s">
        <v>67</v>
      </c>
      <c r="F9" t="s">
        <v>279</v>
      </c>
      <c r="G9" t="s">
        <v>280</v>
      </c>
    </row>
    <row r="10" spans="1:7" x14ac:dyDescent="0.25">
      <c r="A10" t="s">
        <v>196</v>
      </c>
      <c r="B10" t="s">
        <v>197</v>
      </c>
      <c r="C10" t="s">
        <v>8</v>
      </c>
      <c r="D10" t="s">
        <v>165</v>
      </c>
      <c r="E10" t="s">
        <v>67</v>
      </c>
      <c r="F10" t="s">
        <v>281</v>
      </c>
      <c r="G10" t="s">
        <v>277</v>
      </c>
    </row>
    <row r="11" spans="1:7" x14ac:dyDescent="0.25">
      <c r="A11" t="s">
        <v>212</v>
      </c>
      <c r="B11" t="s">
        <v>213</v>
      </c>
      <c r="C11" t="s">
        <v>153</v>
      </c>
      <c r="D11" t="s">
        <v>80</v>
      </c>
      <c r="E11" t="s">
        <v>67</v>
      </c>
      <c r="F11" t="s">
        <v>282</v>
      </c>
      <c r="G11" t="s">
        <v>283</v>
      </c>
    </row>
    <row r="12" spans="1:7" x14ac:dyDescent="0.25">
      <c r="A12" t="s">
        <v>224</v>
      </c>
      <c r="B12" t="s">
        <v>225</v>
      </c>
      <c r="C12" t="s">
        <v>226</v>
      </c>
      <c r="D12" t="s">
        <v>169</v>
      </c>
      <c r="E12" t="s">
        <v>67</v>
      </c>
      <c r="F12" t="s">
        <v>275</v>
      </c>
      <c r="G12" t="s">
        <v>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7F938-F724-45B1-B18D-82E13C0D228D}">
  <dimension ref="A1:G25"/>
  <sheetViews>
    <sheetView workbookViewId="0">
      <selection activeCell="B24" sqref="B24"/>
    </sheetView>
  </sheetViews>
  <sheetFormatPr defaultRowHeight="15" x14ac:dyDescent="0.25"/>
  <cols>
    <col min="1" max="1" width="13.5703125" bestFit="1" customWidth="1"/>
    <col min="2" max="2" width="21.5703125" bestFit="1" customWidth="1"/>
  </cols>
  <sheetData>
    <row r="1" spans="1:7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112</v>
      </c>
    </row>
    <row r="2" spans="1:7" x14ac:dyDescent="0.25">
      <c r="A2" t="s">
        <v>9</v>
      </c>
      <c r="B2" t="s">
        <v>22</v>
      </c>
      <c r="C2" t="s">
        <v>23</v>
      </c>
      <c r="D2" t="s">
        <v>77</v>
      </c>
    </row>
    <row r="3" spans="1:7" x14ac:dyDescent="0.25">
      <c r="A3" t="s">
        <v>78</v>
      </c>
      <c r="B3" t="s">
        <v>79</v>
      </c>
      <c r="C3" t="s">
        <v>9</v>
      </c>
      <c r="D3" t="s">
        <v>24</v>
      </c>
      <c r="E3">
        <v>31.3</v>
      </c>
      <c r="F3">
        <v>68.900000000000006</v>
      </c>
    </row>
    <row r="4" spans="1:7" x14ac:dyDescent="0.25">
      <c r="A4" t="s">
        <v>23</v>
      </c>
      <c r="B4" t="s">
        <v>25</v>
      </c>
      <c r="D4" t="s">
        <v>26</v>
      </c>
    </row>
    <row r="5" spans="1:7" x14ac:dyDescent="0.25">
      <c r="A5" t="s">
        <v>39</v>
      </c>
      <c r="B5" t="s">
        <v>75</v>
      </c>
      <c r="C5" t="s">
        <v>9</v>
      </c>
      <c r="D5" t="s">
        <v>40</v>
      </c>
      <c r="E5">
        <v>30.5</v>
      </c>
      <c r="F5">
        <v>67.7</v>
      </c>
    </row>
    <row r="6" spans="1:7" x14ac:dyDescent="0.25">
      <c r="A6" t="s">
        <v>37</v>
      </c>
      <c r="B6" t="s">
        <v>38</v>
      </c>
      <c r="C6" t="s">
        <v>9</v>
      </c>
      <c r="D6" t="s">
        <v>40</v>
      </c>
      <c r="E6">
        <v>30.1</v>
      </c>
      <c r="F6">
        <v>69.2</v>
      </c>
      <c r="G6">
        <v>1</v>
      </c>
    </row>
    <row r="7" spans="1:7" x14ac:dyDescent="0.25">
      <c r="A7" t="s">
        <v>41</v>
      </c>
      <c r="B7" t="s">
        <v>74</v>
      </c>
      <c r="C7" t="s">
        <v>9</v>
      </c>
      <c r="D7" t="s">
        <v>40</v>
      </c>
      <c r="E7">
        <v>31.3</v>
      </c>
      <c r="F7">
        <v>69.900000000000006</v>
      </c>
      <c r="G7">
        <v>1</v>
      </c>
    </row>
    <row r="8" spans="1:7" x14ac:dyDescent="0.25">
      <c r="A8" t="s">
        <v>42</v>
      </c>
      <c r="B8" t="s">
        <v>43</v>
      </c>
      <c r="C8" t="s">
        <v>9</v>
      </c>
      <c r="D8" t="s">
        <v>40</v>
      </c>
      <c r="E8">
        <v>31.1</v>
      </c>
      <c r="F8">
        <v>65.8</v>
      </c>
    </row>
    <row r="9" spans="1:7" x14ac:dyDescent="0.25">
      <c r="A9" t="s">
        <v>47</v>
      </c>
      <c r="B9" t="s">
        <v>48</v>
      </c>
      <c r="C9" t="s">
        <v>9</v>
      </c>
      <c r="D9" t="s">
        <v>40</v>
      </c>
      <c r="E9">
        <v>31.2</v>
      </c>
      <c r="F9">
        <v>70.599999999999994</v>
      </c>
      <c r="G9">
        <v>1</v>
      </c>
    </row>
    <row r="10" spans="1:7" x14ac:dyDescent="0.25">
      <c r="A10" t="s">
        <v>54</v>
      </c>
      <c r="B10" t="s">
        <v>66</v>
      </c>
      <c r="C10" t="s">
        <v>23</v>
      </c>
      <c r="D10" t="s">
        <v>77</v>
      </c>
    </row>
    <row r="11" spans="1:7" x14ac:dyDescent="0.25">
      <c r="A11" t="s">
        <v>80</v>
      </c>
      <c r="B11" t="s">
        <v>81</v>
      </c>
      <c r="C11" t="s">
        <v>54</v>
      </c>
      <c r="D11" t="s">
        <v>24</v>
      </c>
      <c r="E11">
        <v>26.3</v>
      </c>
      <c r="F11">
        <v>66.599999999999994</v>
      </c>
    </row>
    <row r="12" spans="1:7" x14ac:dyDescent="0.25">
      <c r="A12" t="s">
        <v>161</v>
      </c>
      <c r="B12" t="s">
        <v>162</v>
      </c>
      <c r="C12" t="s">
        <v>54</v>
      </c>
      <c r="D12" t="s">
        <v>40</v>
      </c>
      <c r="E12">
        <v>25.9</v>
      </c>
      <c r="F12">
        <v>63.1</v>
      </c>
    </row>
    <row r="13" spans="1:7" x14ac:dyDescent="0.25">
      <c r="A13" t="s">
        <v>163</v>
      </c>
      <c r="B13" t="s">
        <v>164</v>
      </c>
      <c r="C13" t="s">
        <v>54</v>
      </c>
      <c r="D13" t="s">
        <v>40</v>
      </c>
      <c r="E13">
        <v>28.9</v>
      </c>
      <c r="F13">
        <v>66.5</v>
      </c>
      <c r="G13">
        <v>1</v>
      </c>
    </row>
    <row r="14" spans="1:7" x14ac:dyDescent="0.25">
      <c r="A14" t="s">
        <v>165</v>
      </c>
      <c r="B14" t="s">
        <v>166</v>
      </c>
      <c r="C14" t="s">
        <v>54</v>
      </c>
      <c r="D14" t="s">
        <v>40</v>
      </c>
      <c r="E14">
        <v>24.3</v>
      </c>
      <c r="F14">
        <v>65.2</v>
      </c>
    </row>
    <row r="15" spans="1:7" x14ac:dyDescent="0.25">
      <c r="A15" t="s">
        <v>167</v>
      </c>
      <c r="B15" t="s">
        <v>168</v>
      </c>
      <c r="C15" t="s">
        <v>54</v>
      </c>
      <c r="D15" t="s">
        <v>40</v>
      </c>
      <c r="E15">
        <v>26.2</v>
      </c>
      <c r="F15">
        <v>67.900000000000006</v>
      </c>
    </row>
    <row r="16" spans="1:7" x14ac:dyDescent="0.25">
      <c r="A16" t="s">
        <v>169</v>
      </c>
      <c r="B16" t="s">
        <v>170</v>
      </c>
      <c r="C16" t="s">
        <v>54</v>
      </c>
      <c r="D16" t="s">
        <v>40</v>
      </c>
      <c r="E16">
        <v>26.8</v>
      </c>
      <c r="F16">
        <v>68.599999999999994</v>
      </c>
      <c r="G16">
        <v>1</v>
      </c>
    </row>
    <row r="17" spans="1:7" x14ac:dyDescent="0.25">
      <c r="A17" t="s">
        <v>171</v>
      </c>
      <c r="B17" t="s">
        <v>172</v>
      </c>
      <c r="C17" t="s">
        <v>54</v>
      </c>
      <c r="D17" t="s">
        <v>40</v>
      </c>
      <c r="E17">
        <v>21.8</v>
      </c>
      <c r="F17">
        <v>67.599999999999994</v>
      </c>
      <c r="G17">
        <v>1</v>
      </c>
    </row>
    <row r="18" spans="1:7" x14ac:dyDescent="0.25">
      <c r="A18" t="s">
        <v>237</v>
      </c>
      <c r="B18" t="s">
        <v>238</v>
      </c>
      <c r="C18" t="s">
        <v>23</v>
      </c>
      <c r="D18" t="s">
        <v>77</v>
      </c>
    </row>
    <row r="19" spans="1:7" x14ac:dyDescent="0.25">
      <c r="A19" t="s">
        <v>239</v>
      </c>
      <c r="B19" t="s">
        <v>240</v>
      </c>
      <c r="C19" t="s">
        <v>237</v>
      </c>
      <c r="D19" t="s">
        <v>24</v>
      </c>
      <c r="E19">
        <v>23.3</v>
      </c>
      <c r="F19">
        <v>72.7</v>
      </c>
    </row>
    <row r="20" spans="1:7" x14ac:dyDescent="0.25">
      <c r="A20" t="s">
        <v>264</v>
      </c>
      <c r="B20" t="s">
        <v>265</v>
      </c>
      <c r="C20" t="s">
        <v>237</v>
      </c>
      <c r="D20" t="s">
        <v>40</v>
      </c>
      <c r="E20">
        <v>21.5</v>
      </c>
      <c r="F20">
        <v>71.5</v>
      </c>
    </row>
    <row r="21" spans="1:7" x14ac:dyDescent="0.25">
      <c r="A21" t="s">
        <v>266</v>
      </c>
      <c r="B21" t="s">
        <v>46</v>
      </c>
      <c r="C21" t="s">
        <v>237</v>
      </c>
      <c r="D21" t="s">
        <v>40</v>
      </c>
      <c r="E21">
        <v>25.1</v>
      </c>
      <c r="F21">
        <v>70.599999999999994</v>
      </c>
    </row>
    <row r="22" spans="1:7" x14ac:dyDescent="0.25">
      <c r="A22" t="s">
        <v>267</v>
      </c>
      <c r="B22" t="s">
        <v>268</v>
      </c>
      <c r="C22" t="s">
        <v>237</v>
      </c>
      <c r="D22" t="s">
        <v>40</v>
      </c>
      <c r="E22">
        <v>23.6</v>
      </c>
      <c r="F22">
        <v>74.099999999999994</v>
      </c>
    </row>
    <row r="23" spans="1:7" x14ac:dyDescent="0.25">
      <c r="A23" t="s">
        <v>269</v>
      </c>
      <c r="B23" t="s">
        <v>298</v>
      </c>
      <c r="C23" t="s">
        <v>237</v>
      </c>
      <c r="D23" t="s">
        <v>40</v>
      </c>
      <c r="E23">
        <v>24.3</v>
      </c>
      <c r="F23">
        <v>75</v>
      </c>
      <c r="G23">
        <v>1</v>
      </c>
    </row>
    <row r="24" spans="1:7" x14ac:dyDescent="0.25">
      <c r="A24" t="s">
        <v>270</v>
      </c>
      <c r="B24" t="s">
        <v>271</v>
      </c>
      <c r="C24" t="s">
        <v>237</v>
      </c>
      <c r="D24" t="s">
        <v>40</v>
      </c>
      <c r="E24">
        <v>21.3</v>
      </c>
      <c r="F24">
        <v>73.400000000000006</v>
      </c>
      <c r="G24">
        <v>1</v>
      </c>
    </row>
    <row r="25" spans="1:7" x14ac:dyDescent="0.25">
      <c r="A25" t="s">
        <v>272</v>
      </c>
      <c r="B25" t="s">
        <v>273</v>
      </c>
      <c r="C25" t="s">
        <v>237</v>
      </c>
      <c r="D25" t="s">
        <v>40</v>
      </c>
      <c r="E25">
        <v>21.9</v>
      </c>
      <c r="F25">
        <v>70.400000000000006</v>
      </c>
      <c r="G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2C8E-D265-418D-8065-F972E277CAB9}">
  <dimension ref="A1:G85"/>
  <sheetViews>
    <sheetView topLeftCell="A55" workbookViewId="0">
      <selection activeCell="G83" sqref="G83"/>
    </sheetView>
  </sheetViews>
  <sheetFormatPr defaultRowHeight="15" x14ac:dyDescent="0.25"/>
  <cols>
    <col min="4" max="4" width="144.42578125" bestFit="1" customWidth="1"/>
    <col min="5" max="5" width="15.42578125" bestFit="1" customWidth="1"/>
    <col min="6" max="6" width="11.85546875" bestFit="1" customWidth="1"/>
    <col min="7" max="7" width="11.7109375" bestFit="1" customWidth="1"/>
  </cols>
  <sheetData>
    <row r="1" spans="1:7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288</v>
      </c>
    </row>
    <row r="2" spans="1:7" x14ac:dyDescent="0.25">
      <c r="A2" t="s">
        <v>34</v>
      </c>
      <c r="B2">
        <v>10</v>
      </c>
      <c r="C2" t="s">
        <v>35</v>
      </c>
      <c r="D2" t="s">
        <v>107</v>
      </c>
      <c r="E2" t="s">
        <v>41</v>
      </c>
      <c r="F2" t="s">
        <v>33</v>
      </c>
    </row>
    <row r="3" spans="1:7" x14ac:dyDescent="0.25">
      <c r="A3" t="s">
        <v>34</v>
      </c>
      <c r="B3">
        <v>11</v>
      </c>
      <c r="C3" t="s">
        <v>35</v>
      </c>
      <c r="D3" t="s">
        <v>36</v>
      </c>
      <c r="E3" t="s">
        <v>78</v>
      </c>
      <c r="F3" t="s">
        <v>33</v>
      </c>
    </row>
    <row r="4" spans="1:7" x14ac:dyDescent="0.25">
      <c r="A4" t="s">
        <v>34</v>
      </c>
      <c r="B4">
        <v>12</v>
      </c>
      <c r="C4" t="s">
        <v>35</v>
      </c>
      <c r="D4" t="s">
        <v>83</v>
      </c>
      <c r="E4" t="s">
        <v>78</v>
      </c>
      <c r="F4" t="s">
        <v>33</v>
      </c>
    </row>
    <row r="5" spans="1:7" x14ac:dyDescent="0.25">
      <c r="A5" t="s">
        <v>34</v>
      </c>
      <c r="B5">
        <v>13</v>
      </c>
      <c r="C5" t="s">
        <v>35</v>
      </c>
      <c r="D5" t="s">
        <v>84</v>
      </c>
      <c r="E5" t="s">
        <v>78</v>
      </c>
      <c r="F5" t="s">
        <v>33</v>
      </c>
    </row>
    <row r="6" spans="1:7" x14ac:dyDescent="0.25">
      <c r="A6" t="s">
        <v>34</v>
      </c>
      <c r="B6">
        <v>14</v>
      </c>
      <c r="C6" t="s">
        <v>35</v>
      </c>
      <c r="D6" t="s">
        <v>129</v>
      </c>
      <c r="E6" t="s">
        <v>39</v>
      </c>
      <c r="F6" t="s">
        <v>33</v>
      </c>
    </row>
    <row r="7" spans="1:7" x14ac:dyDescent="0.25">
      <c r="A7" t="s">
        <v>34</v>
      </c>
      <c r="B7">
        <v>15</v>
      </c>
      <c r="C7" t="s">
        <v>35</v>
      </c>
      <c r="D7" t="s">
        <v>130</v>
      </c>
      <c r="E7" t="s">
        <v>39</v>
      </c>
      <c r="F7" t="s">
        <v>33</v>
      </c>
    </row>
    <row r="8" spans="1:7" x14ac:dyDescent="0.25">
      <c r="A8" t="s">
        <v>34</v>
      </c>
      <c r="B8">
        <v>16</v>
      </c>
      <c r="C8" t="s">
        <v>35</v>
      </c>
      <c r="D8" t="s">
        <v>70</v>
      </c>
      <c r="E8" t="s">
        <v>41</v>
      </c>
      <c r="F8" t="s">
        <v>33</v>
      </c>
    </row>
    <row r="9" spans="1:7" x14ac:dyDescent="0.25">
      <c r="A9" t="s">
        <v>34</v>
      </c>
      <c r="B9">
        <v>17</v>
      </c>
      <c r="C9" t="s">
        <v>35</v>
      </c>
      <c r="D9" t="s">
        <v>88</v>
      </c>
      <c r="E9" t="s">
        <v>41</v>
      </c>
      <c r="F9" t="s">
        <v>33</v>
      </c>
    </row>
    <row r="10" spans="1:7" x14ac:dyDescent="0.25">
      <c r="A10" t="s">
        <v>34</v>
      </c>
      <c r="B10">
        <v>18</v>
      </c>
      <c r="C10" t="s">
        <v>35</v>
      </c>
      <c r="D10" t="s">
        <v>86</v>
      </c>
      <c r="E10" t="s">
        <v>37</v>
      </c>
      <c r="F10" t="s">
        <v>72</v>
      </c>
    </row>
    <row r="11" spans="1:7" x14ac:dyDescent="0.25">
      <c r="A11" t="s">
        <v>34</v>
      </c>
      <c r="B11">
        <v>19</v>
      </c>
      <c r="C11" t="s">
        <v>35</v>
      </c>
      <c r="D11" t="s">
        <v>87</v>
      </c>
      <c r="E11" t="s">
        <v>37</v>
      </c>
      <c r="F11" t="s">
        <v>72</v>
      </c>
    </row>
    <row r="12" spans="1:7" x14ac:dyDescent="0.25">
      <c r="A12" t="s">
        <v>34</v>
      </c>
      <c r="B12">
        <v>20</v>
      </c>
      <c r="C12" t="s">
        <v>35</v>
      </c>
      <c r="D12" t="s">
        <v>71</v>
      </c>
      <c r="E12" t="s">
        <v>78</v>
      </c>
      <c r="F12" t="s">
        <v>72</v>
      </c>
    </row>
    <row r="13" spans="1:7" x14ac:dyDescent="0.25">
      <c r="A13" t="s">
        <v>34</v>
      </c>
      <c r="B13">
        <v>21</v>
      </c>
      <c r="C13" t="s">
        <v>35</v>
      </c>
      <c r="D13" t="s">
        <v>142</v>
      </c>
      <c r="E13" t="s">
        <v>78</v>
      </c>
      <c r="F13" t="s">
        <v>72</v>
      </c>
    </row>
    <row r="14" spans="1:7" x14ac:dyDescent="0.25">
      <c r="A14" t="s">
        <v>34</v>
      </c>
      <c r="B14">
        <v>22</v>
      </c>
      <c r="C14" t="s">
        <v>35</v>
      </c>
      <c r="D14" t="s">
        <v>89</v>
      </c>
      <c r="E14" t="s">
        <v>42</v>
      </c>
      <c r="F14" t="s">
        <v>72</v>
      </c>
    </row>
    <row r="15" spans="1:7" x14ac:dyDescent="0.25">
      <c r="A15" t="s">
        <v>34</v>
      </c>
      <c r="B15">
        <v>23</v>
      </c>
      <c r="C15" t="s">
        <v>35</v>
      </c>
      <c r="D15" t="s">
        <v>90</v>
      </c>
      <c r="E15" t="s">
        <v>42</v>
      </c>
      <c r="F15" t="s">
        <v>72</v>
      </c>
    </row>
    <row r="16" spans="1:7" x14ac:dyDescent="0.25">
      <c r="A16" t="s">
        <v>34</v>
      </c>
      <c r="B16">
        <v>24</v>
      </c>
      <c r="C16" t="s">
        <v>35</v>
      </c>
      <c r="D16" t="s">
        <v>71</v>
      </c>
      <c r="E16" t="s">
        <v>78</v>
      </c>
      <c r="F16" t="s">
        <v>72</v>
      </c>
    </row>
    <row r="17" spans="1:6" x14ac:dyDescent="0.25">
      <c r="A17" t="s">
        <v>34</v>
      </c>
      <c r="B17">
        <v>25</v>
      </c>
      <c r="C17" t="s">
        <v>35</v>
      </c>
      <c r="D17" t="s">
        <v>91</v>
      </c>
      <c r="E17" t="s">
        <v>78</v>
      </c>
      <c r="F17" t="s">
        <v>72</v>
      </c>
    </row>
    <row r="18" spans="1:6" x14ac:dyDescent="0.25">
      <c r="A18" t="s">
        <v>34</v>
      </c>
      <c r="B18">
        <v>26</v>
      </c>
      <c r="C18" t="s">
        <v>35</v>
      </c>
      <c r="D18" t="s">
        <v>95</v>
      </c>
      <c r="E18" t="s">
        <v>78</v>
      </c>
      <c r="F18" t="s">
        <v>73</v>
      </c>
    </row>
    <row r="19" spans="1:6" x14ac:dyDescent="0.25">
      <c r="A19" t="s">
        <v>34</v>
      </c>
      <c r="B19">
        <v>27</v>
      </c>
      <c r="C19" t="s">
        <v>35</v>
      </c>
      <c r="D19" t="s">
        <v>96</v>
      </c>
      <c r="E19" t="s">
        <v>39</v>
      </c>
      <c r="F19" t="s">
        <v>73</v>
      </c>
    </row>
    <row r="20" spans="1:6" x14ac:dyDescent="0.25">
      <c r="A20" t="s">
        <v>34</v>
      </c>
      <c r="B20">
        <v>28</v>
      </c>
      <c r="C20" t="s">
        <v>35</v>
      </c>
      <c r="D20" t="s">
        <v>97</v>
      </c>
      <c r="E20" t="s">
        <v>39</v>
      </c>
      <c r="F20" t="s">
        <v>73</v>
      </c>
    </row>
    <row r="21" spans="1:6" x14ac:dyDescent="0.25">
      <c r="A21" t="s">
        <v>34</v>
      </c>
      <c r="B21">
        <v>29</v>
      </c>
      <c r="C21" t="s">
        <v>35</v>
      </c>
      <c r="D21" t="s">
        <v>98</v>
      </c>
      <c r="E21" t="s">
        <v>78</v>
      </c>
      <c r="F21" t="s">
        <v>73</v>
      </c>
    </row>
    <row r="22" spans="1:6" x14ac:dyDescent="0.25">
      <c r="A22" t="s">
        <v>34</v>
      </c>
      <c r="B22">
        <v>30</v>
      </c>
      <c r="C22" t="s">
        <v>35</v>
      </c>
      <c r="D22" t="s">
        <v>99</v>
      </c>
      <c r="E22" t="s">
        <v>78</v>
      </c>
      <c r="F22" t="s">
        <v>73</v>
      </c>
    </row>
    <row r="23" spans="1:6" x14ac:dyDescent="0.25">
      <c r="A23" t="s">
        <v>34</v>
      </c>
      <c r="B23">
        <v>31</v>
      </c>
      <c r="C23" t="s">
        <v>35</v>
      </c>
      <c r="D23" t="s">
        <v>100</v>
      </c>
      <c r="E23" t="s">
        <v>78</v>
      </c>
      <c r="F23" t="s">
        <v>73</v>
      </c>
    </row>
    <row r="24" spans="1:6" x14ac:dyDescent="0.25">
      <c r="A24" t="s">
        <v>34</v>
      </c>
      <c r="B24">
        <v>32</v>
      </c>
      <c r="C24" t="s">
        <v>35</v>
      </c>
      <c r="D24" t="s">
        <v>62</v>
      </c>
      <c r="E24" t="s">
        <v>47</v>
      </c>
      <c r="F24" t="s">
        <v>73</v>
      </c>
    </row>
    <row r="25" spans="1:6" x14ac:dyDescent="0.25">
      <c r="A25" t="s">
        <v>34</v>
      </c>
      <c r="B25">
        <v>33</v>
      </c>
      <c r="C25" t="s">
        <v>35</v>
      </c>
      <c r="D25" t="s">
        <v>101</v>
      </c>
      <c r="E25" t="s">
        <v>47</v>
      </c>
      <c r="F25" t="s">
        <v>73</v>
      </c>
    </row>
    <row r="26" spans="1:6" x14ac:dyDescent="0.25">
      <c r="A26" t="s">
        <v>34</v>
      </c>
      <c r="B26">
        <v>34</v>
      </c>
      <c r="C26" t="s">
        <v>35</v>
      </c>
      <c r="D26" t="s">
        <v>102</v>
      </c>
      <c r="E26" t="s">
        <v>47</v>
      </c>
      <c r="F26" t="s">
        <v>73</v>
      </c>
    </row>
    <row r="27" spans="1:6" x14ac:dyDescent="0.25">
      <c r="A27" t="s">
        <v>34</v>
      </c>
      <c r="B27">
        <v>35</v>
      </c>
      <c r="C27" t="s">
        <v>35</v>
      </c>
      <c r="D27" t="s">
        <v>103</v>
      </c>
      <c r="E27" t="s">
        <v>47</v>
      </c>
      <c r="F27" t="s">
        <v>73</v>
      </c>
    </row>
    <row r="28" spans="1:6" x14ac:dyDescent="0.25">
      <c r="A28" t="s">
        <v>34</v>
      </c>
      <c r="B28">
        <v>36</v>
      </c>
      <c r="C28" t="s">
        <v>35</v>
      </c>
      <c r="D28" t="s">
        <v>104</v>
      </c>
      <c r="E28" t="s">
        <v>78</v>
      </c>
      <c r="F28" t="s">
        <v>73</v>
      </c>
    </row>
    <row r="29" spans="1:6" x14ac:dyDescent="0.25">
      <c r="A29" t="s">
        <v>34</v>
      </c>
      <c r="B29">
        <v>37</v>
      </c>
      <c r="C29" t="s">
        <v>35</v>
      </c>
      <c r="D29" t="s">
        <v>105</v>
      </c>
      <c r="E29" t="s">
        <v>78</v>
      </c>
      <c r="F29" t="s">
        <v>73</v>
      </c>
    </row>
    <row r="30" spans="1:6" x14ac:dyDescent="0.25">
      <c r="A30" t="s">
        <v>34</v>
      </c>
      <c r="B30">
        <v>38</v>
      </c>
      <c r="C30" t="s">
        <v>35</v>
      </c>
      <c r="D30" t="s">
        <v>106</v>
      </c>
      <c r="E30" t="s">
        <v>41</v>
      </c>
      <c r="F30" t="s">
        <v>73</v>
      </c>
    </row>
    <row r="31" spans="1:6" x14ac:dyDescent="0.25">
      <c r="A31" t="s">
        <v>34</v>
      </c>
      <c r="B31">
        <v>39</v>
      </c>
      <c r="C31" t="s">
        <v>35</v>
      </c>
      <c r="D31" t="s">
        <v>111</v>
      </c>
      <c r="E31" t="s">
        <v>41</v>
      </c>
      <c r="F31" t="s">
        <v>73</v>
      </c>
    </row>
    <row r="32" spans="1:6" x14ac:dyDescent="0.25">
      <c r="A32" t="s">
        <v>67</v>
      </c>
      <c r="B32">
        <v>40</v>
      </c>
      <c r="C32" t="s">
        <v>68</v>
      </c>
      <c r="D32" t="s">
        <v>76</v>
      </c>
      <c r="E32" t="s">
        <v>80</v>
      </c>
      <c r="F32" t="s">
        <v>69</v>
      </c>
    </row>
    <row r="33" spans="1:6" x14ac:dyDescent="0.25">
      <c r="A33" t="s">
        <v>67</v>
      </c>
      <c r="B33">
        <v>41</v>
      </c>
      <c r="C33" t="s">
        <v>68</v>
      </c>
      <c r="D33" t="s">
        <v>150</v>
      </c>
      <c r="E33" t="s">
        <v>80</v>
      </c>
      <c r="F33" t="s">
        <v>69</v>
      </c>
    </row>
    <row r="34" spans="1:6" x14ac:dyDescent="0.25">
      <c r="A34" t="s">
        <v>67</v>
      </c>
      <c r="B34">
        <v>42</v>
      </c>
      <c r="C34" t="s">
        <v>68</v>
      </c>
      <c r="D34" t="s">
        <v>156</v>
      </c>
      <c r="E34" t="s">
        <v>80</v>
      </c>
      <c r="F34" t="s">
        <v>69</v>
      </c>
    </row>
    <row r="35" spans="1:6" x14ac:dyDescent="0.25">
      <c r="A35" t="s">
        <v>67</v>
      </c>
      <c r="B35">
        <v>43</v>
      </c>
      <c r="C35" t="s">
        <v>68</v>
      </c>
      <c r="D35" t="s">
        <v>157</v>
      </c>
      <c r="E35" t="s">
        <v>80</v>
      </c>
      <c r="F35" t="s">
        <v>69</v>
      </c>
    </row>
    <row r="36" spans="1:6" x14ac:dyDescent="0.25">
      <c r="A36" t="s">
        <v>67</v>
      </c>
      <c r="B36">
        <v>44</v>
      </c>
      <c r="C36" t="s">
        <v>68</v>
      </c>
      <c r="D36" t="s">
        <v>158</v>
      </c>
      <c r="E36" t="s">
        <v>80</v>
      </c>
      <c r="F36" t="s">
        <v>69</v>
      </c>
    </row>
    <row r="37" spans="1:6" x14ac:dyDescent="0.25">
      <c r="A37" t="s">
        <v>67</v>
      </c>
      <c r="B37">
        <v>45</v>
      </c>
      <c r="C37" t="s">
        <v>68</v>
      </c>
      <c r="D37" t="s">
        <v>159</v>
      </c>
      <c r="E37" t="s">
        <v>80</v>
      </c>
      <c r="F37" t="s">
        <v>69</v>
      </c>
    </row>
    <row r="38" spans="1:6" x14ac:dyDescent="0.25">
      <c r="A38" t="s">
        <v>67</v>
      </c>
      <c r="B38">
        <v>46</v>
      </c>
      <c r="C38" t="s">
        <v>68</v>
      </c>
      <c r="D38" t="s">
        <v>160</v>
      </c>
      <c r="E38" t="s">
        <v>161</v>
      </c>
      <c r="F38" t="s">
        <v>69</v>
      </c>
    </row>
    <row r="39" spans="1:6" x14ac:dyDescent="0.25">
      <c r="A39" t="s">
        <v>67</v>
      </c>
      <c r="B39">
        <v>47</v>
      </c>
      <c r="C39" t="s">
        <v>68</v>
      </c>
      <c r="D39" t="s">
        <v>187</v>
      </c>
      <c r="E39" t="s">
        <v>161</v>
      </c>
      <c r="F39" t="s">
        <v>69</v>
      </c>
    </row>
    <row r="40" spans="1:6" x14ac:dyDescent="0.25">
      <c r="A40" t="s">
        <v>67</v>
      </c>
      <c r="B40">
        <v>48</v>
      </c>
      <c r="C40" t="s">
        <v>68</v>
      </c>
      <c r="D40" t="s">
        <v>179</v>
      </c>
      <c r="E40" t="s">
        <v>161</v>
      </c>
      <c r="F40" t="s">
        <v>69</v>
      </c>
    </row>
    <row r="41" spans="1:6" x14ac:dyDescent="0.25">
      <c r="A41" t="s">
        <v>67</v>
      </c>
      <c r="B41">
        <v>49</v>
      </c>
      <c r="C41" t="s">
        <v>68</v>
      </c>
      <c r="D41" t="s">
        <v>173</v>
      </c>
      <c r="E41" t="s">
        <v>161</v>
      </c>
      <c r="F41" t="s">
        <v>69</v>
      </c>
    </row>
    <row r="42" spans="1:6" x14ac:dyDescent="0.25">
      <c r="A42" t="s">
        <v>67</v>
      </c>
      <c r="B42">
        <v>50</v>
      </c>
      <c r="C42" t="s">
        <v>68</v>
      </c>
      <c r="D42" t="s">
        <v>174</v>
      </c>
      <c r="E42" t="s">
        <v>161</v>
      </c>
      <c r="F42" t="s">
        <v>69</v>
      </c>
    </row>
    <row r="43" spans="1:6" x14ac:dyDescent="0.25">
      <c r="A43" t="s">
        <v>67</v>
      </c>
      <c r="B43">
        <v>51</v>
      </c>
      <c r="C43" t="s">
        <v>68</v>
      </c>
      <c r="D43" t="s">
        <v>176</v>
      </c>
      <c r="E43" t="s">
        <v>161</v>
      </c>
      <c r="F43" t="s">
        <v>69</v>
      </c>
    </row>
    <row r="44" spans="1:6" x14ac:dyDescent="0.25">
      <c r="A44" t="s">
        <v>67</v>
      </c>
      <c r="B44">
        <v>52</v>
      </c>
      <c r="C44" t="s">
        <v>68</v>
      </c>
      <c r="D44" t="s">
        <v>181</v>
      </c>
      <c r="E44" t="s">
        <v>161</v>
      </c>
      <c r="F44" t="s">
        <v>69</v>
      </c>
    </row>
    <row r="45" spans="1:6" x14ac:dyDescent="0.25">
      <c r="A45" t="s">
        <v>67</v>
      </c>
      <c r="B45">
        <v>53</v>
      </c>
      <c r="C45" t="s">
        <v>68</v>
      </c>
      <c r="D45" t="s">
        <v>180</v>
      </c>
      <c r="E45" t="s">
        <v>80</v>
      </c>
      <c r="F45" t="s">
        <v>69</v>
      </c>
    </row>
    <row r="46" spans="1:6" x14ac:dyDescent="0.25">
      <c r="A46" t="s">
        <v>67</v>
      </c>
      <c r="B46">
        <v>54</v>
      </c>
      <c r="C46" t="s">
        <v>68</v>
      </c>
      <c r="D46" t="s">
        <v>191</v>
      </c>
      <c r="E46" t="s">
        <v>80</v>
      </c>
      <c r="F46" t="s">
        <v>69</v>
      </c>
    </row>
    <row r="47" spans="1:6" x14ac:dyDescent="0.25">
      <c r="A47" t="s">
        <v>67</v>
      </c>
      <c r="B47">
        <v>55</v>
      </c>
      <c r="C47" t="s">
        <v>68</v>
      </c>
      <c r="D47" t="s">
        <v>192</v>
      </c>
      <c r="E47" t="s">
        <v>80</v>
      </c>
      <c r="F47" t="s">
        <v>69</v>
      </c>
    </row>
    <row r="48" spans="1:6" x14ac:dyDescent="0.25">
      <c r="A48" t="s">
        <v>67</v>
      </c>
      <c r="B48">
        <v>56</v>
      </c>
      <c r="C48" t="s">
        <v>68</v>
      </c>
      <c r="D48" t="s">
        <v>193</v>
      </c>
      <c r="E48" t="s">
        <v>80</v>
      </c>
      <c r="F48" t="s">
        <v>69</v>
      </c>
    </row>
    <row r="49" spans="1:6" x14ac:dyDescent="0.25">
      <c r="A49" t="s">
        <v>67</v>
      </c>
      <c r="B49">
        <v>57</v>
      </c>
      <c r="C49" t="s">
        <v>68</v>
      </c>
      <c r="D49" t="s">
        <v>194</v>
      </c>
      <c r="E49" t="s">
        <v>167</v>
      </c>
      <c r="F49" t="s">
        <v>69</v>
      </c>
    </row>
    <row r="50" spans="1:6" x14ac:dyDescent="0.25">
      <c r="A50" t="s">
        <v>67</v>
      </c>
      <c r="B50">
        <v>58</v>
      </c>
      <c r="C50" t="s">
        <v>68</v>
      </c>
      <c r="D50" t="s">
        <v>195</v>
      </c>
      <c r="E50" t="s">
        <v>165</v>
      </c>
      <c r="F50" t="s">
        <v>69</v>
      </c>
    </row>
    <row r="51" spans="1:6" x14ac:dyDescent="0.25">
      <c r="A51" t="s">
        <v>67</v>
      </c>
      <c r="B51">
        <v>59</v>
      </c>
      <c r="C51" t="s">
        <v>68</v>
      </c>
      <c r="D51" t="s">
        <v>199</v>
      </c>
      <c r="E51" t="s">
        <v>165</v>
      </c>
      <c r="F51" t="s">
        <v>69</v>
      </c>
    </row>
    <row r="52" spans="1:6" x14ac:dyDescent="0.25">
      <c r="A52" t="s">
        <v>67</v>
      </c>
      <c r="B52">
        <v>60</v>
      </c>
      <c r="C52" t="s">
        <v>68</v>
      </c>
      <c r="D52" t="s">
        <v>201</v>
      </c>
      <c r="E52" t="s">
        <v>165</v>
      </c>
      <c r="F52" t="s">
        <v>69</v>
      </c>
    </row>
    <row r="53" spans="1:6" x14ac:dyDescent="0.25">
      <c r="A53" t="s">
        <v>67</v>
      </c>
      <c r="B53">
        <v>61</v>
      </c>
      <c r="C53" t="s">
        <v>68</v>
      </c>
      <c r="D53" t="s">
        <v>202</v>
      </c>
      <c r="E53" t="s">
        <v>165</v>
      </c>
      <c r="F53" t="s">
        <v>69</v>
      </c>
    </row>
    <row r="54" spans="1:6" x14ac:dyDescent="0.25">
      <c r="A54" t="s">
        <v>67</v>
      </c>
      <c r="B54">
        <v>62</v>
      </c>
      <c r="C54" t="s">
        <v>68</v>
      </c>
      <c r="D54" t="s">
        <v>203</v>
      </c>
      <c r="E54" t="s">
        <v>165</v>
      </c>
      <c r="F54" t="s">
        <v>69</v>
      </c>
    </row>
    <row r="55" spans="1:6" x14ac:dyDescent="0.25">
      <c r="A55" t="s">
        <v>67</v>
      </c>
      <c r="B55">
        <v>63</v>
      </c>
      <c r="C55" t="s">
        <v>68</v>
      </c>
      <c r="D55" t="s">
        <v>204</v>
      </c>
      <c r="E55" t="s">
        <v>165</v>
      </c>
      <c r="F55" t="s">
        <v>69</v>
      </c>
    </row>
    <row r="56" spans="1:6" x14ac:dyDescent="0.25">
      <c r="A56" t="s">
        <v>67</v>
      </c>
      <c r="B56">
        <v>64</v>
      </c>
      <c r="C56" t="s">
        <v>68</v>
      </c>
      <c r="D56" t="s">
        <v>205</v>
      </c>
      <c r="E56" t="s">
        <v>165</v>
      </c>
      <c r="F56" t="s">
        <v>69</v>
      </c>
    </row>
    <row r="57" spans="1:6" x14ac:dyDescent="0.25">
      <c r="A57" t="s">
        <v>67</v>
      </c>
      <c r="B57">
        <v>65</v>
      </c>
      <c r="C57" t="s">
        <v>68</v>
      </c>
      <c r="D57" t="s">
        <v>206</v>
      </c>
      <c r="E57" t="s">
        <v>161</v>
      </c>
      <c r="F57" t="s">
        <v>69</v>
      </c>
    </row>
    <row r="58" spans="1:6" x14ac:dyDescent="0.25">
      <c r="A58" t="s">
        <v>67</v>
      </c>
      <c r="B58">
        <v>66</v>
      </c>
      <c r="C58" t="s">
        <v>68</v>
      </c>
      <c r="D58" t="s">
        <v>210</v>
      </c>
      <c r="E58" t="s">
        <v>161</v>
      </c>
      <c r="F58" t="s">
        <v>69</v>
      </c>
    </row>
    <row r="59" spans="1:6" x14ac:dyDescent="0.25">
      <c r="A59" t="s">
        <v>67</v>
      </c>
      <c r="B59">
        <v>67</v>
      </c>
      <c r="C59" t="s">
        <v>68</v>
      </c>
      <c r="D59" t="s">
        <v>211</v>
      </c>
      <c r="E59" t="s">
        <v>161</v>
      </c>
      <c r="F59" t="s">
        <v>69</v>
      </c>
    </row>
    <row r="60" spans="1:6" x14ac:dyDescent="0.25">
      <c r="A60" t="s">
        <v>67</v>
      </c>
      <c r="B60">
        <v>68</v>
      </c>
      <c r="C60" t="s">
        <v>68</v>
      </c>
      <c r="D60" t="s">
        <v>214</v>
      </c>
      <c r="E60" t="s">
        <v>80</v>
      </c>
      <c r="F60" t="s">
        <v>69</v>
      </c>
    </row>
    <row r="61" spans="1:6" x14ac:dyDescent="0.25">
      <c r="A61" t="s">
        <v>67</v>
      </c>
      <c r="B61">
        <v>69</v>
      </c>
      <c r="C61" t="s">
        <v>68</v>
      </c>
      <c r="D61" t="s">
        <v>215</v>
      </c>
      <c r="E61" t="s">
        <v>80</v>
      </c>
      <c r="F61" t="s">
        <v>69</v>
      </c>
    </row>
    <row r="62" spans="1:6" x14ac:dyDescent="0.25">
      <c r="A62" t="s">
        <v>67</v>
      </c>
      <c r="B62">
        <v>70</v>
      </c>
      <c r="C62" t="s">
        <v>68</v>
      </c>
      <c r="D62" t="s">
        <v>231</v>
      </c>
      <c r="E62" t="s">
        <v>80</v>
      </c>
      <c r="F62" t="s">
        <v>69</v>
      </c>
    </row>
    <row r="63" spans="1:6" x14ac:dyDescent="0.25">
      <c r="A63" t="s">
        <v>67</v>
      </c>
      <c r="B63">
        <v>71</v>
      </c>
      <c r="C63" t="s">
        <v>68</v>
      </c>
      <c r="D63" t="s">
        <v>219</v>
      </c>
      <c r="E63" t="s">
        <v>169</v>
      </c>
      <c r="F63" t="s">
        <v>69</v>
      </c>
    </row>
    <row r="64" spans="1:6" x14ac:dyDescent="0.25">
      <c r="A64" t="s">
        <v>67</v>
      </c>
      <c r="B64">
        <v>72</v>
      </c>
      <c r="C64" t="s">
        <v>68</v>
      </c>
      <c r="D64" t="s">
        <v>227</v>
      </c>
      <c r="E64" t="s">
        <v>169</v>
      </c>
      <c r="F64" t="s">
        <v>69</v>
      </c>
    </row>
    <row r="65" spans="1:7" x14ac:dyDescent="0.25">
      <c r="A65" t="s">
        <v>67</v>
      </c>
      <c r="B65">
        <v>73</v>
      </c>
      <c r="C65" t="s">
        <v>68</v>
      </c>
      <c r="D65" t="s">
        <v>228</v>
      </c>
      <c r="E65" t="s">
        <v>169</v>
      </c>
      <c r="F65" t="s">
        <v>69</v>
      </c>
    </row>
    <row r="66" spans="1:7" x14ac:dyDescent="0.25">
      <c r="A66" t="s">
        <v>67</v>
      </c>
      <c r="B66">
        <v>74</v>
      </c>
      <c r="C66" t="s">
        <v>68</v>
      </c>
      <c r="D66" t="s">
        <v>229</v>
      </c>
      <c r="E66" t="s">
        <v>169</v>
      </c>
      <c r="F66" t="s">
        <v>69</v>
      </c>
    </row>
    <row r="67" spans="1:7" x14ac:dyDescent="0.25">
      <c r="A67" t="s">
        <v>67</v>
      </c>
      <c r="B67">
        <v>75</v>
      </c>
      <c r="C67" t="s">
        <v>68</v>
      </c>
      <c r="D67" t="s">
        <v>230</v>
      </c>
      <c r="E67" t="s">
        <v>167</v>
      </c>
      <c r="F67" t="s">
        <v>69</v>
      </c>
    </row>
    <row r="68" spans="1:7" x14ac:dyDescent="0.25">
      <c r="A68" t="s">
        <v>67</v>
      </c>
      <c r="B68">
        <v>76</v>
      </c>
      <c r="C68" t="s">
        <v>68</v>
      </c>
      <c r="D68" t="s">
        <v>290</v>
      </c>
      <c r="E68" t="s">
        <v>167</v>
      </c>
      <c r="F68" t="s">
        <v>69</v>
      </c>
    </row>
    <row r="69" spans="1:7" x14ac:dyDescent="0.25">
      <c r="A69" t="s">
        <v>67</v>
      </c>
      <c r="B69">
        <v>77</v>
      </c>
      <c r="C69" t="s">
        <v>68</v>
      </c>
      <c r="D69" t="s">
        <v>291</v>
      </c>
      <c r="E69" t="s">
        <v>167</v>
      </c>
      <c r="F69" t="s">
        <v>69</v>
      </c>
    </row>
    <row r="70" spans="1:7" x14ac:dyDescent="0.25">
      <c r="A70" t="s">
        <v>67</v>
      </c>
      <c r="B70">
        <v>78</v>
      </c>
      <c r="C70" t="s">
        <v>68</v>
      </c>
      <c r="D70" t="s">
        <v>245</v>
      </c>
      <c r="E70" t="s">
        <v>163</v>
      </c>
      <c r="F70" t="s">
        <v>69</v>
      </c>
      <c r="G70" t="s">
        <v>289</v>
      </c>
    </row>
    <row r="71" spans="1:7" x14ac:dyDescent="0.25">
      <c r="A71" t="s">
        <v>67</v>
      </c>
      <c r="B71">
        <v>79</v>
      </c>
      <c r="C71" t="s">
        <v>68</v>
      </c>
      <c r="D71" t="s">
        <v>232</v>
      </c>
      <c r="E71" t="s">
        <v>163</v>
      </c>
      <c r="F71" t="s">
        <v>69</v>
      </c>
    </row>
    <row r="72" spans="1:7" x14ac:dyDescent="0.25">
      <c r="A72" t="s">
        <v>67</v>
      </c>
      <c r="B72">
        <v>80</v>
      </c>
      <c r="C72" t="s">
        <v>68</v>
      </c>
      <c r="D72" t="s">
        <v>233</v>
      </c>
      <c r="E72" t="s">
        <v>163</v>
      </c>
      <c r="F72" t="s">
        <v>69</v>
      </c>
    </row>
    <row r="73" spans="1:7" x14ac:dyDescent="0.25">
      <c r="A73" t="s">
        <v>67</v>
      </c>
      <c r="B73">
        <v>81</v>
      </c>
      <c r="C73" t="s">
        <v>68</v>
      </c>
      <c r="D73" t="s">
        <v>293</v>
      </c>
      <c r="E73" t="s">
        <v>163</v>
      </c>
      <c r="F73" t="s">
        <v>69</v>
      </c>
    </row>
    <row r="74" spans="1:7" x14ac:dyDescent="0.25">
      <c r="A74" t="s">
        <v>67</v>
      </c>
      <c r="B74">
        <v>82</v>
      </c>
      <c r="C74" t="s">
        <v>68</v>
      </c>
      <c r="D74" t="s">
        <v>292</v>
      </c>
      <c r="E74" t="s">
        <v>163</v>
      </c>
      <c r="F74" t="s">
        <v>69</v>
      </c>
    </row>
    <row r="75" spans="1:7" x14ac:dyDescent="0.25">
      <c r="A75" t="s">
        <v>67</v>
      </c>
      <c r="B75">
        <v>83</v>
      </c>
      <c r="C75" t="s">
        <v>68</v>
      </c>
      <c r="D75" t="s">
        <v>235</v>
      </c>
      <c r="E75" t="s">
        <v>163</v>
      </c>
      <c r="F75" t="s">
        <v>69</v>
      </c>
    </row>
    <row r="76" spans="1:7" x14ac:dyDescent="0.25">
      <c r="A76" t="s">
        <v>67</v>
      </c>
      <c r="B76">
        <v>84</v>
      </c>
      <c r="C76" t="s">
        <v>68</v>
      </c>
      <c r="D76" t="s">
        <v>234</v>
      </c>
      <c r="E76" t="s">
        <v>163</v>
      </c>
      <c r="F76" t="s">
        <v>69</v>
      </c>
    </row>
    <row r="77" spans="1:7" x14ac:dyDescent="0.25">
      <c r="A77" t="s">
        <v>67</v>
      </c>
      <c r="B77">
        <v>85</v>
      </c>
      <c r="C77" t="s">
        <v>68</v>
      </c>
      <c r="D77" t="s">
        <v>236</v>
      </c>
      <c r="E77" t="s">
        <v>80</v>
      </c>
      <c r="F77" t="s">
        <v>69</v>
      </c>
    </row>
    <row r="78" spans="1:7" x14ac:dyDescent="0.25">
      <c r="A78" t="s">
        <v>67</v>
      </c>
      <c r="B78">
        <v>86</v>
      </c>
      <c r="C78" t="s">
        <v>68</v>
      </c>
      <c r="D78" t="s">
        <v>297</v>
      </c>
      <c r="E78" t="s">
        <v>80</v>
      </c>
      <c r="F78" t="s">
        <v>69</v>
      </c>
    </row>
    <row r="79" spans="1:7" x14ac:dyDescent="0.25">
      <c r="A79" t="s">
        <v>67</v>
      </c>
      <c r="B79">
        <v>87</v>
      </c>
      <c r="C79" t="s">
        <v>68</v>
      </c>
      <c r="D79" t="s">
        <v>296</v>
      </c>
      <c r="E79" t="s">
        <v>80</v>
      </c>
      <c r="F79" t="s">
        <v>69</v>
      </c>
    </row>
    <row r="80" spans="1:7" x14ac:dyDescent="0.25">
      <c r="A80" t="s">
        <v>67</v>
      </c>
      <c r="B80">
        <v>88</v>
      </c>
      <c r="C80" t="s">
        <v>68</v>
      </c>
      <c r="D80" t="s">
        <v>241</v>
      </c>
      <c r="E80" t="s">
        <v>80</v>
      </c>
      <c r="F80" t="s">
        <v>69</v>
      </c>
    </row>
    <row r="81" spans="1:6" x14ac:dyDescent="0.25">
      <c r="A81" t="s">
        <v>67</v>
      </c>
      <c r="B81">
        <v>89</v>
      </c>
      <c r="C81" t="s">
        <v>68</v>
      </c>
      <c r="D81" t="s">
        <v>242</v>
      </c>
      <c r="E81" t="s">
        <v>80</v>
      </c>
      <c r="F81" t="s">
        <v>69</v>
      </c>
    </row>
    <row r="82" spans="1:6" x14ac:dyDescent="0.25">
      <c r="A82" t="s">
        <v>67</v>
      </c>
      <c r="B82">
        <v>90</v>
      </c>
      <c r="C82" t="s">
        <v>68</v>
      </c>
      <c r="D82" t="s">
        <v>294</v>
      </c>
      <c r="E82" t="s">
        <v>80</v>
      </c>
      <c r="F82" t="s">
        <v>69</v>
      </c>
    </row>
    <row r="83" spans="1:6" x14ac:dyDescent="0.25">
      <c r="A83" t="s">
        <v>67</v>
      </c>
      <c r="B83">
        <v>91</v>
      </c>
      <c r="C83" t="s">
        <v>68</v>
      </c>
      <c r="D83" t="s">
        <v>295</v>
      </c>
      <c r="E83" t="s">
        <v>80</v>
      </c>
      <c r="F83" t="s">
        <v>69</v>
      </c>
    </row>
    <row r="84" spans="1:6" x14ac:dyDescent="0.25">
      <c r="A84" t="s">
        <v>221</v>
      </c>
      <c r="B84">
        <v>92</v>
      </c>
      <c r="C84" t="s">
        <v>243</v>
      </c>
      <c r="D84" t="s">
        <v>262</v>
      </c>
      <c r="E84" t="s">
        <v>80</v>
      </c>
      <c r="F84" t="s">
        <v>69</v>
      </c>
    </row>
    <row r="85" spans="1:6" x14ac:dyDescent="0.25">
      <c r="A85" t="s">
        <v>221</v>
      </c>
      <c r="B85">
        <v>93</v>
      </c>
      <c r="C85" t="s">
        <v>243</v>
      </c>
      <c r="D85" t="s">
        <v>263</v>
      </c>
      <c r="E85" t="s">
        <v>171</v>
      </c>
      <c r="F85" t="s">
        <v>69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01B6-5B2D-4C63-87A9-B0F352D632BD}">
  <dimension ref="A1:H27"/>
  <sheetViews>
    <sheetView tabSelected="1" workbookViewId="0">
      <selection activeCell="F28" sqref="F28"/>
    </sheetView>
  </sheetViews>
  <sheetFormatPr defaultRowHeight="15" x14ac:dyDescent="0.25"/>
  <cols>
    <col min="3" max="3" width="13.85546875" bestFit="1" customWidth="1"/>
    <col min="4" max="4" width="12.42578125" bestFit="1" customWidth="1"/>
    <col min="5" max="5" width="10.28515625" bestFit="1" customWidth="1"/>
    <col min="6" max="6" width="15" bestFit="1" customWidth="1"/>
    <col min="7" max="7" width="76.140625" bestFit="1" customWidth="1"/>
    <col min="8" max="8" width="11.7109375" bestFit="1" customWidth="1"/>
  </cols>
  <sheetData>
    <row r="1" spans="1:8" x14ac:dyDescent="0.25">
      <c r="A1" t="s">
        <v>0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288</v>
      </c>
    </row>
    <row r="2" spans="1:8" x14ac:dyDescent="0.25">
      <c r="A2" t="s">
        <v>6</v>
      </c>
      <c r="B2" t="s">
        <v>34</v>
      </c>
      <c r="C2">
        <f>beats!B2</f>
        <v>10</v>
      </c>
      <c r="G2" t="s">
        <v>82</v>
      </c>
    </row>
    <row r="3" spans="1:8" x14ac:dyDescent="0.25">
      <c r="A3" t="s">
        <v>10</v>
      </c>
      <c r="B3" t="s">
        <v>34</v>
      </c>
      <c r="C3">
        <f>beats!B2</f>
        <v>10</v>
      </c>
      <c r="G3" t="s">
        <v>82</v>
      </c>
    </row>
    <row r="4" spans="1:8" x14ac:dyDescent="0.25">
      <c r="A4" t="s">
        <v>14</v>
      </c>
      <c r="B4" t="s">
        <v>34</v>
      </c>
      <c r="C4">
        <f>beats!B2</f>
        <v>10</v>
      </c>
      <c r="E4" t="s">
        <v>34</v>
      </c>
      <c r="F4">
        <f>beats!B2</f>
        <v>10</v>
      </c>
      <c r="G4" t="s">
        <v>63</v>
      </c>
    </row>
    <row r="5" spans="1:8" x14ac:dyDescent="0.25">
      <c r="A5" t="s">
        <v>12</v>
      </c>
      <c r="B5" t="s">
        <v>34</v>
      </c>
      <c r="C5">
        <f>beats!B3</f>
        <v>11</v>
      </c>
      <c r="E5" t="s">
        <v>34</v>
      </c>
      <c r="F5">
        <f>beats!B5</f>
        <v>13</v>
      </c>
      <c r="G5" t="s">
        <v>85</v>
      </c>
    </row>
    <row r="6" spans="1:8" x14ac:dyDescent="0.25">
      <c r="A6" t="s">
        <v>14</v>
      </c>
      <c r="B6" t="s">
        <v>34</v>
      </c>
      <c r="C6">
        <f>beats!B7</f>
        <v>15</v>
      </c>
      <c r="E6" t="s">
        <v>34</v>
      </c>
      <c r="F6">
        <f>beats!B9</f>
        <v>17</v>
      </c>
      <c r="G6" t="s">
        <v>108</v>
      </c>
    </row>
    <row r="7" spans="1:8" x14ac:dyDescent="0.25">
      <c r="A7" t="s">
        <v>44</v>
      </c>
      <c r="B7" t="s">
        <v>34</v>
      </c>
      <c r="C7">
        <f>beats!B17</f>
        <v>25</v>
      </c>
      <c r="E7" t="s">
        <v>34</v>
      </c>
      <c r="F7">
        <f>beats!B18</f>
        <v>26</v>
      </c>
      <c r="G7" t="s">
        <v>64</v>
      </c>
    </row>
    <row r="8" spans="1:8" x14ac:dyDescent="0.25">
      <c r="A8" t="s">
        <v>92</v>
      </c>
      <c r="B8" t="s">
        <v>34</v>
      </c>
      <c r="C8">
        <f>beats!B20</f>
        <v>28</v>
      </c>
      <c r="E8" t="s">
        <v>34</v>
      </c>
      <c r="F8">
        <f>beats!B21</f>
        <v>29</v>
      </c>
      <c r="G8" t="s">
        <v>109</v>
      </c>
    </row>
    <row r="9" spans="1:8" x14ac:dyDescent="0.25">
      <c r="A9" t="s">
        <v>12</v>
      </c>
      <c r="B9" t="s">
        <v>34</v>
      </c>
      <c r="C9">
        <f>beats!B22</f>
        <v>30</v>
      </c>
      <c r="E9" t="s">
        <v>67</v>
      </c>
      <c r="F9">
        <v>50</v>
      </c>
      <c r="G9" t="s">
        <v>110</v>
      </c>
    </row>
    <row r="10" spans="1:8" x14ac:dyDescent="0.25">
      <c r="A10" t="s">
        <v>44</v>
      </c>
      <c r="B10" t="s">
        <v>34</v>
      </c>
      <c r="C10">
        <f>beats!B25</f>
        <v>33</v>
      </c>
      <c r="D10" t="s">
        <v>47</v>
      </c>
      <c r="E10" t="s">
        <v>34</v>
      </c>
      <c r="F10">
        <f>beats!B27</f>
        <v>35</v>
      </c>
      <c r="G10" t="s">
        <v>65</v>
      </c>
    </row>
    <row r="11" spans="1:8" x14ac:dyDescent="0.25">
      <c r="A11" t="s">
        <v>12</v>
      </c>
      <c r="B11" t="s">
        <v>67</v>
      </c>
      <c r="C11">
        <f>beats!B32</f>
        <v>40</v>
      </c>
      <c r="E11" t="s">
        <v>67</v>
      </c>
      <c r="F11">
        <f>beats!B82</f>
        <v>90</v>
      </c>
      <c r="G11" t="s">
        <v>149</v>
      </c>
    </row>
    <row r="12" spans="1:8" x14ac:dyDescent="0.25">
      <c r="A12" t="s">
        <v>182</v>
      </c>
      <c r="B12" t="s">
        <v>67</v>
      </c>
      <c r="C12">
        <f>beats!B40</f>
        <v>48</v>
      </c>
      <c r="E12" t="s">
        <v>67</v>
      </c>
      <c r="F12">
        <f>beats!B41</f>
        <v>49</v>
      </c>
      <c r="G12" t="s">
        <v>188</v>
      </c>
    </row>
    <row r="13" spans="1:8" x14ac:dyDescent="0.25">
      <c r="A13" t="s">
        <v>151</v>
      </c>
      <c r="B13" t="s">
        <v>67</v>
      </c>
      <c r="C13">
        <f>beats!B40</f>
        <v>48</v>
      </c>
      <c r="E13" t="s">
        <v>67</v>
      </c>
      <c r="F13">
        <f>beats!B44</f>
        <v>52</v>
      </c>
      <c r="G13" t="s">
        <v>189</v>
      </c>
    </row>
    <row r="14" spans="1:8" x14ac:dyDescent="0.25">
      <c r="A14" t="s">
        <v>182</v>
      </c>
      <c r="B14" t="s">
        <v>67</v>
      </c>
      <c r="C14">
        <f>beats!B44</f>
        <v>52</v>
      </c>
      <c r="E14" t="s">
        <v>67</v>
      </c>
      <c r="F14">
        <f>beats!B46</f>
        <v>54</v>
      </c>
      <c r="G14" t="s">
        <v>190</v>
      </c>
    </row>
    <row r="15" spans="1:8" x14ac:dyDescent="0.25">
      <c r="A15" t="s">
        <v>196</v>
      </c>
      <c r="B15" t="s">
        <v>67</v>
      </c>
      <c r="C15">
        <f>beats!B51</f>
        <v>59</v>
      </c>
      <c r="E15" t="s">
        <v>67</v>
      </c>
      <c r="F15">
        <f>beats!B51</f>
        <v>59</v>
      </c>
      <c r="G15" t="s">
        <v>200</v>
      </c>
    </row>
    <row r="16" spans="1:8" x14ac:dyDescent="0.25">
      <c r="A16" t="s">
        <v>151</v>
      </c>
      <c r="B16" t="s">
        <v>67</v>
      </c>
      <c r="C16">
        <f>beats!B56</f>
        <v>64</v>
      </c>
      <c r="E16" t="s">
        <v>67</v>
      </c>
      <c r="F16">
        <f>beats!B57</f>
        <v>65</v>
      </c>
      <c r="G16" t="s">
        <v>285</v>
      </c>
    </row>
    <row r="17" spans="1:8" x14ac:dyDescent="0.25">
      <c r="A17" t="s">
        <v>182</v>
      </c>
      <c r="B17" t="s">
        <v>67</v>
      </c>
      <c r="C17">
        <f>beats!B57</f>
        <v>65</v>
      </c>
      <c r="E17" t="s">
        <v>67</v>
      </c>
      <c r="F17">
        <f>beats!B63</f>
        <v>71</v>
      </c>
      <c r="G17" t="s">
        <v>207</v>
      </c>
    </row>
    <row r="18" spans="1:8" x14ac:dyDescent="0.25">
      <c r="A18" t="s">
        <v>44</v>
      </c>
      <c r="B18" t="s">
        <v>67</v>
      </c>
      <c r="C18">
        <f>beats!B59</f>
        <v>67</v>
      </c>
      <c r="D18" t="s">
        <v>80</v>
      </c>
      <c r="E18" t="s">
        <v>67</v>
      </c>
      <c r="F18">
        <f>beats!B59</f>
        <v>67</v>
      </c>
      <c r="G18" t="s">
        <v>218</v>
      </c>
    </row>
    <row r="19" spans="1:8" x14ac:dyDescent="0.25">
      <c r="A19" t="s">
        <v>212</v>
      </c>
      <c r="B19" t="s">
        <v>67</v>
      </c>
      <c r="C19">
        <f>beats!B61</f>
        <v>69</v>
      </c>
      <c r="E19" t="s">
        <v>67</v>
      </c>
      <c r="F19">
        <f>beats!B61</f>
        <v>69</v>
      </c>
      <c r="G19" t="s">
        <v>217</v>
      </c>
    </row>
    <row r="20" spans="1:8" x14ac:dyDescent="0.25">
      <c r="A20" t="s">
        <v>182</v>
      </c>
      <c r="B20" t="s">
        <v>67</v>
      </c>
      <c r="C20">
        <f>beats!B63</f>
        <v>71</v>
      </c>
      <c r="E20" t="s">
        <v>67</v>
      </c>
      <c r="F20">
        <f>beats!B63</f>
        <v>71</v>
      </c>
      <c r="G20" t="s">
        <v>222</v>
      </c>
    </row>
    <row r="21" spans="1:8" x14ac:dyDescent="0.25">
      <c r="A21" t="s">
        <v>44</v>
      </c>
      <c r="B21" t="s">
        <v>67</v>
      </c>
      <c r="C21">
        <f>beats!B64</f>
        <v>72</v>
      </c>
      <c r="E21" t="s">
        <v>67</v>
      </c>
      <c r="F21">
        <f>beats!B66</f>
        <v>74</v>
      </c>
      <c r="G21" t="s">
        <v>244</v>
      </c>
    </row>
    <row r="22" spans="1:8" x14ac:dyDescent="0.25">
      <c r="A22" t="s">
        <v>224</v>
      </c>
      <c r="B22" t="s">
        <v>67</v>
      </c>
      <c r="C22">
        <f>beats!B65</f>
        <v>73</v>
      </c>
      <c r="E22" t="s">
        <v>67</v>
      </c>
      <c r="F22">
        <f>beats!B66</f>
        <v>74</v>
      </c>
      <c r="G22" t="s">
        <v>246</v>
      </c>
    </row>
    <row r="23" spans="1:8" x14ac:dyDescent="0.25">
      <c r="A23" t="s">
        <v>182</v>
      </c>
      <c r="B23" t="s">
        <v>67</v>
      </c>
      <c r="C23">
        <f>beats!B68</f>
        <v>76</v>
      </c>
      <c r="E23" t="s">
        <v>67</v>
      </c>
      <c r="F23">
        <f>beats!B82</f>
        <v>90</v>
      </c>
      <c r="G23" t="s">
        <v>284</v>
      </c>
    </row>
    <row r="24" spans="1:8" x14ac:dyDescent="0.25">
      <c r="A24" t="s">
        <v>44</v>
      </c>
      <c r="B24" t="s">
        <v>67</v>
      </c>
      <c r="C24">
        <f>beats!B72</f>
        <v>80</v>
      </c>
      <c r="E24" t="s">
        <v>67</v>
      </c>
      <c r="F24">
        <f>beats!B75</f>
        <v>83</v>
      </c>
      <c r="G24" t="s">
        <v>248</v>
      </c>
    </row>
    <row r="25" spans="1:8" x14ac:dyDescent="0.25">
      <c r="A25" t="s">
        <v>212</v>
      </c>
      <c r="B25" t="s">
        <v>67</v>
      </c>
      <c r="C25">
        <f>beats!B75</f>
        <v>83</v>
      </c>
      <c r="E25" t="s">
        <v>67</v>
      </c>
      <c r="F25">
        <f>beats!B75</f>
        <v>83</v>
      </c>
      <c r="G25" t="s">
        <v>249</v>
      </c>
    </row>
    <row r="26" spans="1:8" x14ac:dyDescent="0.25">
      <c r="A26" t="s">
        <v>12</v>
      </c>
      <c r="B26" t="s">
        <v>67</v>
      </c>
      <c r="C26">
        <f>beats!B82</f>
        <v>90</v>
      </c>
      <c r="D26" t="s">
        <v>78</v>
      </c>
      <c r="E26" t="s">
        <v>67</v>
      </c>
      <c r="F26">
        <f>beats!B83</f>
        <v>91</v>
      </c>
      <c r="G26" t="s">
        <v>255</v>
      </c>
      <c r="H26" t="s">
        <v>289</v>
      </c>
    </row>
    <row r="27" spans="1:8" x14ac:dyDescent="0.25">
      <c r="A27" t="s">
        <v>182</v>
      </c>
      <c r="B27" t="s">
        <v>67</v>
      </c>
      <c r="C27">
        <f>beats!B82</f>
        <v>90</v>
      </c>
      <c r="D27" t="s">
        <v>78</v>
      </c>
      <c r="E27" t="s">
        <v>67</v>
      </c>
      <c r="F27">
        <f>beats!B83</f>
        <v>91</v>
      </c>
      <c r="G27" t="s">
        <v>247</v>
      </c>
      <c r="H27" t="s">
        <v>289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493BF-D343-46EF-AB39-E5F4461CCFFF}">
  <dimension ref="A1:H47"/>
  <sheetViews>
    <sheetView workbookViewId="0">
      <selection activeCell="C36" sqref="C36"/>
    </sheetView>
  </sheetViews>
  <sheetFormatPr defaultRowHeight="15" x14ac:dyDescent="0.25"/>
  <cols>
    <col min="2" max="2" width="15.85546875" bestFit="1" customWidth="1"/>
    <col min="3" max="3" width="15.85546875" customWidth="1"/>
    <col min="4" max="4" width="14" bestFit="1" customWidth="1"/>
    <col min="5" max="5" width="108.7109375" bestFit="1" customWidth="1"/>
    <col min="6" max="6" width="14.7109375" bestFit="1" customWidth="1"/>
    <col min="7" max="7" width="19.42578125" bestFit="1" customWidth="1"/>
    <col min="8" max="8" width="20.28515625" bestFit="1" customWidth="1"/>
  </cols>
  <sheetData>
    <row r="1" spans="1:8" x14ac:dyDescent="0.25">
      <c r="A1" t="s">
        <v>0</v>
      </c>
      <c r="B1" t="s">
        <v>49</v>
      </c>
      <c r="C1" t="s">
        <v>28</v>
      </c>
      <c r="D1" t="s">
        <v>50</v>
      </c>
      <c r="E1" t="s">
        <v>51</v>
      </c>
      <c r="F1" t="s">
        <v>114</v>
      </c>
      <c r="G1" t="s">
        <v>5</v>
      </c>
      <c r="H1" t="s">
        <v>113</v>
      </c>
    </row>
    <row r="2" spans="1:8" x14ac:dyDescent="0.25">
      <c r="A2" t="s">
        <v>14</v>
      </c>
      <c r="B2" t="s">
        <v>34</v>
      </c>
      <c r="C2">
        <f>beats!B2</f>
        <v>10</v>
      </c>
      <c r="D2" t="s">
        <v>55</v>
      </c>
      <c r="E2" t="s">
        <v>145</v>
      </c>
    </row>
    <row r="3" spans="1:8" x14ac:dyDescent="0.25">
      <c r="A3" t="s">
        <v>14</v>
      </c>
      <c r="B3" t="s">
        <v>34</v>
      </c>
      <c r="C3">
        <f>beats!B2</f>
        <v>10</v>
      </c>
      <c r="D3" t="s">
        <v>55</v>
      </c>
      <c r="E3" t="s">
        <v>144</v>
      </c>
    </row>
    <row r="4" spans="1:8" x14ac:dyDescent="0.25">
      <c r="A4" t="s">
        <v>10</v>
      </c>
      <c r="B4" t="s">
        <v>34</v>
      </c>
      <c r="C4">
        <f>beats!B2</f>
        <v>10</v>
      </c>
      <c r="D4" t="s">
        <v>55</v>
      </c>
      <c r="E4" t="s">
        <v>137</v>
      </c>
    </row>
    <row r="5" spans="1:8" x14ac:dyDescent="0.25">
      <c r="A5" t="s">
        <v>6</v>
      </c>
      <c r="B5" t="s">
        <v>34</v>
      </c>
      <c r="C5">
        <f>beats!B2</f>
        <v>10</v>
      </c>
      <c r="D5" t="s">
        <v>55</v>
      </c>
      <c r="E5" t="s">
        <v>138</v>
      </c>
    </row>
    <row r="6" spans="1:8" x14ac:dyDescent="0.25">
      <c r="A6" t="s">
        <v>12</v>
      </c>
      <c r="B6" t="s">
        <v>34</v>
      </c>
      <c r="C6">
        <f>beats!B4</f>
        <v>12</v>
      </c>
      <c r="D6" t="s">
        <v>55</v>
      </c>
      <c r="E6" t="s">
        <v>139</v>
      </c>
    </row>
    <row r="7" spans="1:8" x14ac:dyDescent="0.25">
      <c r="A7" t="s">
        <v>14</v>
      </c>
      <c r="B7" t="s">
        <v>34</v>
      </c>
      <c r="C7">
        <f>beats!B9</f>
        <v>17</v>
      </c>
      <c r="D7" t="s">
        <v>55</v>
      </c>
      <c r="E7" t="s">
        <v>140</v>
      </c>
    </row>
    <row r="8" spans="1:8" x14ac:dyDescent="0.25">
      <c r="A8" t="s">
        <v>14</v>
      </c>
      <c r="B8" t="s">
        <v>34</v>
      </c>
      <c r="C8">
        <f>beats!B9</f>
        <v>17</v>
      </c>
      <c r="D8" t="s">
        <v>55</v>
      </c>
      <c r="E8" t="s">
        <v>131</v>
      </c>
    </row>
    <row r="9" spans="1:8" x14ac:dyDescent="0.25">
      <c r="A9" t="s">
        <v>6</v>
      </c>
      <c r="B9" t="s">
        <v>34</v>
      </c>
      <c r="C9">
        <f>beats!B9</f>
        <v>17</v>
      </c>
      <c r="D9" t="s">
        <v>55</v>
      </c>
      <c r="E9" t="s">
        <v>133</v>
      </c>
    </row>
    <row r="10" spans="1:8" x14ac:dyDescent="0.25">
      <c r="A10" t="s">
        <v>10</v>
      </c>
      <c r="B10" t="s">
        <v>34</v>
      </c>
      <c r="C10">
        <f>beats!B9</f>
        <v>17</v>
      </c>
      <c r="D10" t="s">
        <v>55</v>
      </c>
      <c r="E10" t="s">
        <v>134</v>
      </c>
    </row>
    <row r="11" spans="1:8" x14ac:dyDescent="0.25">
      <c r="A11" t="s">
        <v>12</v>
      </c>
      <c r="B11" t="s">
        <v>34</v>
      </c>
      <c r="C11">
        <f>beats!B9</f>
        <v>17</v>
      </c>
      <c r="D11" t="s">
        <v>55</v>
      </c>
      <c r="E11" t="s">
        <v>135</v>
      </c>
    </row>
    <row r="12" spans="1:8" x14ac:dyDescent="0.25">
      <c r="A12" t="s">
        <v>92</v>
      </c>
      <c r="B12" t="s">
        <v>34</v>
      </c>
      <c r="C12">
        <f>beats!B19</f>
        <v>27</v>
      </c>
      <c r="D12" t="s">
        <v>55</v>
      </c>
      <c r="E12" t="s">
        <v>141</v>
      </c>
    </row>
    <row r="13" spans="1:8" x14ac:dyDescent="0.25">
      <c r="A13" t="s">
        <v>44</v>
      </c>
      <c r="B13" t="s">
        <v>34</v>
      </c>
      <c r="C13">
        <f>beats!B24</f>
        <v>32</v>
      </c>
      <c r="D13" t="s">
        <v>55</v>
      </c>
      <c r="E13" t="s">
        <v>143</v>
      </c>
    </row>
    <row r="14" spans="1:8" x14ac:dyDescent="0.25">
      <c r="A14" t="s">
        <v>44</v>
      </c>
      <c r="B14" t="s">
        <v>34</v>
      </c>
      <c r="C14">
        <f>beats!B24</f>
        <v>32</v>
      </c>
      <c r="D14" t="s">
        <v>55</v>
      </c>
      <c r="E14" t="s">
        <v>132</v>
      </c>
      <c r="F14" t="s">
        <v>52</v>
      </c>
      <c r="G14" t="s">
        <v>127</v>
      </c>
      <c r="H14" t="s">
        <v>128</v>
      </c>
    </row>
    <row r="15" spans="1:8" x14ac:dyDescent="0.25">
      <c r="A15" t="s">
        <v>44</v>
      </c>
      <c r="B15" t="s">
        <v>34</v>
      </c>
      <c r="C15">
        <f>beats!B24</f>
        <v>32</v>
      </c>
      <c r="D15" t="s">
        <v>2</v>
      </c>
      <c r="E15" t="s">
        <v>53</v>
      </c>
    </row>
    <row r="16" spans="1:8" x14ac:dyDescent="0.25">
      <c r="A16" t="s">
        <v>44</v>
      </c>
      <c r="B16" t="s">
        <v>34</v>
      </c>
      <c r="C16">
        <f>beats!B24</f>
        <v>32</v>
      </c>
      <c r="D16" t="s">
        <v>147</v>
      </c>
      <c r="E16" t="s">
        <v>148</v>
      </c>
    </row>
    <row r="17" spans="1:6" x14ac:dyDescent="0.25">
      <c r="A17" t="s">
        <v>14</v>
      </c>
      <c r="B17" t="s">
        <v>34</v>
      </c>
      <c r="C17">
        <f>beats!B30</f>
        <v>38</v>
      </c>
      <c r="D17" t="s">
        <v>55</v>
      </c>
      <c r="E17" t="s">
        <v>146</v>
      </c>
    </row>
    <row r="18" spans="1:6" x14ac:dyDescent="0.25">
      <c r="A18" t="s">
        <v>6</v>
      </c>
      <c r="B18" t="s">
        <v>34</v>
      </c>
      <c r="C18">
        <f>beats!B32</f>
        <v>40</v>
      </c>
      <c r="D18" t="s">
        <v>55</v>
      </c>
      <c r="E18" t="s">
        <v>76</v>
      </c>
    </row>
    <row r="19" spans="1:6" x14ac:dyDescent="0.25">
      <c r="A19" t="s">
        <v>10</v>
      </c>
      <c r="B19" t="s">
        <v>34</v>
      </c>
      <c r="C19">
        <f>beats!B32</f>
        <v>40</v>
      </c>
      <c r="D19" t="s">
        <v>55</v>
      </c>
      <c r="E19" t="s">
        <v>76</v>
      </c>
    </row>
    <row r="20" spans="1:6" x14ac:dyDescent="0.25">
      <c r="A20" t="s">
        <v>12</v>
      </c>
      <c r="B20" t="s">
        <v>34</v>
      </c>
      <c r="C20">
        <f>beats!B32</f>
        <v>40</v>
      </c>
      <c r="D20" t="s">
        <v>55</v>
      </c>
      <c r="E20" t="s">
        <v>136</v>
      </c>
    </row>
    <row r="21" spans="1:6" x14ac:dyDescent="0.25">
      <c r="A21" t="s">
        <v>151</v>
      </c>
      <c r="B21" t="s">
        <v>67</v>
      </c>
      <c r="C21">
        <f>beats!B33</f>
        <v>41</v>
      </c>
      <c r="D21" t="s">
        <v>55</v>
      </c>
      <c r="E21" t="s">
        <v>154</v>
      </c>
    </row>
    <row r="22" spans="1:6" x14ac:dyDescent="0.25">
      <c r="A22" t="s">
        <v>151</v>
      </c>
      <c r="B22" t="s">
        <v>67</v>
      </c>
      <c r="C22">
        <f>beats!B35</f>
        <v>43</v>
      </c>
      <c r="D22" t="s">
        <v>55</v>
      </c>
      <c r="E22" t="s">
        <v>155</v>
      </c>
    </row>
    <row r="23" spans="1:6" x14ac:dyDescent="0.25">
      <c r="A23" t="s">
        <v>44</v>
      </c>
      <c r="B23" t="s">
        <v>67</v>
      </c>
      <c r="C23">
        <f>beats!B42</f>
        <v>50</v>
      </c>
      <c r="D23" t="s">
        <v>55</v>
      </c>
      <c r="E23" t="s">
        <v>175</v>
      </c>
    </row>
    <row r="24" spans="1:6" x14ac:dyDescent="0.25">
      <c r="A24" t="s">
        <v>12</v>
      </c>
      <c r="B24" t="s">
        <v>67</v>
      </c>
      <c r="C24">
        <f>beats!B43</f>
        <v>51</v>
      </c>
      <c r="D24" t="s">
        <v>55</v>
      </c>
      <c r="E24" t="s">
        <v>177</v>
      </c>
    </row>
    <row r="25" spans="1:6" x14ac:dyDescent="0.25">
      <c r="A25" t="s">
        <v>151</v>
      </c>
      <c r="B25" t="s">
        <v>67</v>
      </c>
      <c r="C25">
        <f>beats!B43</f>
        <v>51</v>
      </c>
      <c r="D25" t="s">
        <v>55</v>
      </c>
      <c r="E25" t="s">
        <v>178</v>
      </c>
    </row>
    <row r="26" spans="1:6" x14ac:dyDescent="0.25">
      <c r="A26" t="s">
        <v>182</v>
      </c>
      <c r="B26" t="s">
        <v>67</v>
      </c>
      <c r="C26">
        <f>beats!B45</f>
        <v>53</v>
      </c>
      <c r="D26" t="s">
        <v>55</v>
      </c>
      <c r="E26" t="s">
        <v>185</v>
      </c>
      <c r="F26" t="s">
        <v>186</v>
      </c>
    </row>
    <row r="27" spans="1:6" x14ac:dyDescent="0.25">
      <c r="A27" t="s">
        <v>92</v>
      </c>
      <c r="B27" t="s">
        <v>67</v>
      </c>
      <c r="C27">
        <f>beats!B49</f>
        <v>57</v>
      </c>
      <c r="D27" t="s">
        <v>55</v>
      </c>
      <c r="E27" t="s">
        <v>198</v>
      </c>
    </row>
    <row r="28" spans="1:6" x14ac:dyDescent="0.25">
      <c r="A28" t="s">
        <v>196</v>
      </c>
      <c r="B28" t="s">
        <v>67</v>
      </c>
      <c r="C28">
        <f>beats!B51</f>
        <v>59</v>
      </c>
      <c r="D28" t="s">
        <v>55</v>
      </c>
      <c r="E28" t="s">
        <v>208</v>
      </c>
    </row>
    <row r="29" spans="1:6" x14ac:dyDescent="0.25">
      <c r="A29" t="s">
        <v>182</v>
      </c>
      <c r="B29" t="s">
        <v>67</v>
      </c>
      <c r="C29">
        <f>beats!B58</f>
        <v>66</v>
      </c>
      <c r="D29" t="s">
        <v>55</v>
      </c>
      <c r="E29" t="s">
        <v>209</v>
      </c>
    </row>
    <row r="30" spans="1:6" x14ac:dyDescent="0.25">
      <c r="A30" t="s">
        <v>212</v>
      </c>
      <c r="B30" t="s">
        <v>67</v>
      </c>
      <c r="C30">
        <f>beats!B61</f>
        <v>69</v>
      </c>
      <c r="D30" t="s">
        <v>55</v>
      </c>
      <c r="E30" t="s">
        <v>216</v>
      </c>
    </row>
    <row r="31" spans="1:6" x14ac:dyDescent="0.25">
      <c r="A31" t="s">
        <v>12</v>
      </c>
      <c r="B31" t="s">
        <v>67</v>
      </c>
      <c r="C31">
        <f>beats!B63</f>
        <v>71</v>
      </c>
      <c r="D31" t="s">
        <v>55</v>
      </c>
      <c r="E31" t="s">
        <v>220</v>
      </c>
    </row>
    <row r="32" spans="1:6" x14ac:dyDescent="0.25">
      <c r="A32" t="s">
        <v>182</v>
      </c>
      <c r="B32" t="s">
        <v>67</v>
      </c>
      <c r="C32">
        <f>beats!B63</f>
        <v>71</v>
      </c>
      <c r="D32" t="s">
        <v>55</v>
      </c>
      <c r="E32" t="s">
        <v>223</v>
      </c>
    </row>
    <row r="33" spans="1:5" x14ac:dyDescent="0.25">
      <c r="A33" t="s">
        <v>224</v>
      </c>
      <c r="B33" t="s">
        <v>67</v>
      </c>
      <c r="C33">
        <f>beats!B65</f>
        <v>73</v>
      </c>
      <c r="D33" t="s">
        <v>55</v>
      </c>
      <c r="E33" t="s">
        <v>286</v>
      </c>
    </row>
    <row r="34" spans="1:5" x14ac:dyDescent="0.25">
      <c r="A34" t="s">
        <v>224</v>
      </c>
      <c r="B34" t="s">
        <v>67</v>
      </c>
      <c r="C34">
        <f>beats!B65</f>
        <v>73</v>
      </c>
      <c r="D34" t="s">
        <v>55</v>
      </c>
      <c r="E34" t="s">
        <v>250</v>
      </c>
    </row>
    <row r="35" spans="1:5" x14ac:dyDescent="0.25">
      <c r="A35" t="s">
        <v>44</v>
      </c>
      <c r="B35" t="s">
        <v>67</v>
      </c>
      <c r="C35">
        <f>beats!B65</f>
        <v>73</v>
      </c>
      <c r="D35" t="s">
        <v>55</v>
      </c>
      <c r="E35" t="s">
        <v>287</v>
      </c>
    </row>
    <row r="36" spans="1:5" x14ac:dyDescent="0.25">
      <c r="A36" t="s">
        <v>212</v>
      </c>
      <c r="B36" t="s">
        <v>67</v>
      </c>
      <c r="C36">
        <f>beats!B75</f>
        <v>83</v>
      </c>
      <c r="D36" t="s">
        <v>55</v>
      </c>
      <c r="E36" t="s">
        <v>251</v>
      </c>
    </row>
    <row r="37" spans="1:5" x14ac:dyDescent="0.25">
      <c r="A37" t="s">
        <v>44</v>
      </c>
      <c r="B37" t="s">
        <v>67</v>
      </c>
      <c r="C37">
        <f>beats!B75</f>
        <v>83</v>
      </c>
      <c r="D37" t="s">
        <v>55</v>
      </c>
      <c r="E37" t="s">
        <v>252</v>
      </c>
    </row>
    <row r="38" spans="1:5" x14ac:dyDescent="0.25">
      <c r="A38" t="s">
        <v>14</v>
      </c>
      <c r="B38" t="s">
        <v>67</v>
      </c>
      <c r="C38">
        <f>beats!B76</f>
        <v>84</v>
      </c>
      <c r="D38" t="s">
        <v>55</v>
      </c>
      <c r="E38" t="s">
        <v>253</v>
      </c>
    </row>
    <row r="39" spans="1:5" x14ac:dyDescent="0.25">
      <c r="A39" t="s">
        <v>6</v>
      </c>
      <c r="B39" t="s">
        <v>67</v>
      </c>
      <c r="C39">
        <f>beats!B77</f>
        <v>85</v>
      </c>
      <c r="D39" t="s">
        <v>55</v>
      </c>
      <c r="E39" t="s">
        <v>254</v>
      </c>
    </row>
    <row r="40" spans="1:5" x14ac:dyDescent="0.25">
      <c r="A40" t="s">
        <v>10</v>
      </c>
      <c r="B40" t="s">
        <v>67</v>
      </c>
      <c r="C40">
        <f>beats!B77</f>
        <v>85</v>
      </c>
      <c r="D40" t="s">
        <v>55</v>
      </c>
      <c r="E40" t="s">
        <v>254</v>
      </c>
    </row>
    <row r="41" spans="1:5" x14ac:dyDescent="0.25">
      <c r="A41" t="s">
        <v>14</v>
      </c>
      <c r="B41" t="s">
        <v>67</v>
      </c>
      <c r="C41">
        <f>beats!B78</f>
        <v>86</v>
      </c>
      <c r="D41" t="s">
        <v>55</v>
      </c>
      <c r="E41" t="s">
        <v>256</v>
      </c>
    </row>
    <row r="42" spans="1:5" x14ac:dyDescent="0.25">
      <c r="A42" t="s">
        <v>14</v>
      </c>
      <c r="B42" t="s">
        <v>67</v>
      </c>
      <c r="C42">
        <f>beats!B78</f>
        <v>86</v>
      </c>
      <c r="D42" t="s">
        <v>55</v>
      </c>
      <c r="E42" t="s">
        <v>257</v>
      </c>
    </row>
    <row r="43" spans="1:5" x14ac:dyDescent="0.25">
      <c r="A43" t="s">
        <v>14</v>
      </c>
      <c r="B43" t="s">
        <v>67</v>
      </c>
      <c r="C43">
        <f>beats!B79</f>
        <v>87</v>
      </c>
      <c r="D43" t="s">
        <v>55</v>
      </c>
      <c r="E43" t="s">
        <v>258</v>
      </c>
    </row>
    <row r="44" spans="1:5" x14ac:dyDescent="0.25">
      <c r="A44" t="s">
        <v>6</v>
      </c>
      <c r="B44" t="s">
        <v>67</v>
      </c>
      <c r="C44">
        <f>beats!B80</f>
        <v>88</v>
      </c>
      <c r="D44" t="s">
        <v>55</v>
      </c>
      <c r="E44" t="s">
        <v>259</v>
      </c>
    </row>
    <row r="45" spans="1:5" x14ac:dyDescent="0.25">
      <c r="A45" t="s">
        <v>10</v>
      </c>
      <c r="B45" t="s">
        <v>67</v>
      </c>
      <c r="C45">
        <f>beats!B80</f>
        <v>88</v>
      </c>
      <c r="D45" t="s">
        <v>55</v>
      </c>
      <c r="E45" t="s">
        <v>259</v>
      </c>
    </row>
    <row r="46" spans="1:5" x14ac:dyDescent="0.25">
      <c r="A46" t="s">
        <v>182</v>
      </c>
      <c r="B46" t="s">
        <v>67</v>
      </c>
      <c r="C46">
        <f>beats!B82</f>
        <v>90</v>
      </c>
      <c r="D46" t="s">
        <v>55</v>
      </c>
      <c r="E46" t="s">
        <v>260</v>
      </c>
    </row>
    <row r="47" spans="1:5" x14ac:dyDescent="0.25">
      <c r="A47" t="s">
        <v>12</v>
      </c>
      <c r="B47" t="s">
        <v>67</v>
      </c>
      <c r="C47">
        <f>beats!B82</f>
        <v>90</v>
      </c>
      <c r="D47" t="s">
        <v>55</v>
      </c>
      <c r="E47" t="s">
        <v>261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characters</vt:lpstr>
      <vt:lpstr>locations</vt:lpstr>
      <vt:lpstr>beats</vt:lpstr>
      <vt:lpstr>appearances</vt:lpstr>
      <vt:lpstr>codex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Valentino Salerni</dc:creator>
  <cp:lastModifiedBy>Valentino Salerni</cp:lastModifiedBy>
  <dcterms:created xsi:type="dcterms:W3CDTF">2026-06-26T00:25:29Z</dcterms:created>
  <dcterms:modified xsi:type="dcterms:W3CDTF">2026-06-28T23:55:31Z</dcterms:modified>
</cp:coreProperties>
</file>